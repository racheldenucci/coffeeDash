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+KQqirgLHlatSv4jVsk+d+TZ++G6ZM/5gzoiLQAG/2g="/>
    </ext>
  </extLst>
</workbook>
</file>

<file path=xl/sharedStrings.xml><?xml version="1.0" encoding="utf-8"?>
<sst xmlns="http://schemas.openxmlformats.org/spreadsheetml/2006/main" count="70" uniqueCount="32">
  <si>
    <t>SAFRAS</t>
  </si>
  <si>
    <t>CAFÉ - BENEFICIADO - ARÁBICA e ROBUSTA</t>
  </si>
  <si>
    <t>Área em Produção em hectares</t>
  </si>
  <si>
    <t>Estados e Regiões</t>
  </si>
  <si>
    <t>Espécie</t>
  </si>
  <si>
    <t>AM</t>
  </si>
  <si>
    <t>Arábica</t>
  </si>
  <si>
    <t>Robusta</t>
  </si>
  <si>
    <t>Sub-total</t>
  </si>
  <si>
    <t>RO</t>
  </si>
  <si>
    <t>PA</t>
  </si>
  <si>
    <t>BA</t>
  </si>
  <si>
    <t>Cerrado - Arábica</t>
  </si>
  <si>
    <t>Planalto - Arábica</t>
  </si>
  <si>
    <t>Atlântico - Robusta</t>
  </si>
  <si>
    <t>MT</t>
  </si>
  <si>
    <t>GO</t>
  </si>
  <si>
    <t>MG</t>
  </si>
  <si>
    <t>Sul e Centro-Oeste - Arábica</t>
  </si>
  <si>
    <t>Triângulo, Alto Paranaíba e Noroeste - Arábica</t>
  </si>
  <si>
    <t>Zona da Mata, Rio Doce e Central - Arábica</t>
  </si>
  <si>
    <t>Zona da Mata, Rio Doce e Central - Robusta</t>
  </si>
  <si>
    <t>Norte, Jequitinhona e Mucuri - Arábica</t>
  </si>
  <si>
    <t>Norte, Jequitinhona e Mucuri - Robusta</t>
  </si>
  <si>
    <t>ES</t>
  </si>
  <si>
    <t>RJ</t>
  </si>
  <si>
    <t>SP</t>
  </si>
  <si>
    <t>PR</t>
  </si>
  <si>
    <t>OUTROS</t>
  </si>
  <si>
    <t>BRASIL</t>
  </si>
  <si>
    <t>Total Geral</t>
  </si>
  <si>
    <t>Fonte: Elaborado por Minist. da Agricultura e Pecuária, Dados da CONAB (2023 &gt;&gt; Estimativa em maio de 2023), Divulgado no Site ABIC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</si>
</sst>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_(* #,##0_);_(* \(#,##0\);_(* &quot;-&quot;??_);_(@_)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0.0"/>
      <color rgb="FF000000"/>
      <name val="Arial"/>
    </font>
    <font>
      <sz val="8.0"/>
      <color theme="1"/>
      <name val="Arial"/>
    </font>
    <font>
      <sz val="7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ill="1" applyFont="1">
      <alignment shrinkToFit="0" vertical="center" wrapText="0"/>
    </xf>
    <xf borderId="2" fillId="0" fontId="1" numFmtId="3" xfId="0" applyAlignment="1" applyBorder="1" applyFont="1" applyNumberFormat="1">
      <alignment shrinkToFit="0" vertical="center" wrapText="0"/>
    </xf>
    <xf borderId="4" fillId="0" fontId="1" numFmtId="3" xfId="0" applyAlignment="1" applyBorder="1" applyFont="1" applyNumberForma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6" fillId="2" fontId="5" numFmtId="164" xfId="0" applyAlignment="1" applyBorder="1" applyFont="1" applyNumberFormat="1">
      <alignment horizontal="left" shrinkToFit="0" vertical="center" wrapText="0"/>
    </xf>
    <xf borderId="5" fillId="0" fontId="1" numFmtId="3" xfId="0" applyAlignment="1" applyBorder="1" applyFont="1" applyNumberFormat="1">
      <alignment shrinkToFit="0" vertical="center" wrapText="0"/>
    </xf>
    <xf borderId="7" fillId="0" fontId="1" numFmtId="3" xfId="0" applyAlignment="1" applyBorder="1" applyFont="1" applyNumberFormat="1">
      <alignment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9" fillId="2" fontId="6" numFmtId="0" xfId="0" applyAlignment="1" applyBorder="1" applyFont="1">
      <alignment horizontal="left" shrinkToFit="0" vertical="center" wrapText="1"/>
    </xf>
    <xf borderId="8" fillId="0" fontId="1" numFmtId="3" xfId="0" applyAlignment="1" applyBorder="1" applyFont="1" applyNumberFormat="1">
      <alignment shrinkToFit="0" vertical="center" wrapText="0"/>
    </xf>
    <xf borderId="10" fillId="0" fontId="1" numFmtId="3" xfId="0" applyAlignment="1" applyBorder="1" applyFont="1" applyNumberFormat="1">
      <alignment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1" numFmtId="3" xfId="0" applyAlignment="1" applyBorder="1" applyFont="1" applyNumberFormat="1">
      <alignment shrinkToFit="0" vertical="center" wrapText="0"/>
    </xf>
    <xf borderId="13" fillId="0" fontId="1" numFmtId="3" xfId="0" applyAlignment="1" applyBorder="1" applyFont="1" applyNumberFormat="1">
      <alignment shrinkToFit="0" vertical="center" wrapText="0"/>
    </xf>
    <xf borderId="14" fillId="0" fontId="1" numFmtId="3" xfId="0" applyAlignment="1" applyBorder="1" applyFont="1" applyNumberFormat="1">
      <alignment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6" fillId="0" fontId="1" numFmtId="3" xfId="0" applyAlignment="1" applyBorder="1" applyFont="1" applyNumberFormat="1">
      <alignment shrinkToFit="0" vertical="center" wrapText="0"/>
    </xf>
    <xf borderId="15" fillId="0" fontId="1" numFmtId="3" xfId="0" applyAlignment="1" applyBorder="1" applyFont="1" applyNumberFormat="1">
      <alignment shrinkToFit="0" vertical="center" wrapText="0"/>
    </xf>
    <xf borderId="17" fillId="0" fontId="1" numFmtId="3" xfId="0" applyAlignment="1" applyBorder="1" applyFont="1" applyNumberFormat="1">
      <alignment shrinkToFit="0" vertical="center" wrapText="0"/>
    </xf>
    <xf borderId="18" fillId="0" fontId="4" numFmtId="0" xfId="0" applyAlignment="1" applyBorder="1" applyFont="1">
      <alignment horizontal="center" shrinkToFit="0" vertical="center" wrapText="0"/>
    </xf>
    <xf borderId="19" fillId="0" fontId="1" numFmtId="3" xfId="0" applyAlignment="1" applyBorder="1" applyFont="1" applyNumberFormat="1">
      <alignment shrinkToFit="0" vertical="center" wrapText="0"/>
    </xf>
    <xf borderId="18" fillId="0" fontId="1" numFmtId="3" xfId="0" applyAlignment="1" applyBorder="1" applyFont="1" applyNumberFormat="1">
      <alignment shrinkToFit="0" vertical="center" wrapText="0"/>
    </xf>
    <xf borderId="20" fillId="0" fontId="1" numFmtId="3" xfId="0" applyAlignment="1" applyBorder="1" applyFont="1" applyNumberFormat="1">
      <alignment shrinkToFit="0" vertical="center" wrapText="0"/>
    </xf>
    <xf borderId="21" fillId="0" fontId="4" numFmtId="0" xfId="0" applyAlignment="1" applyBorder="1" applyFont="1">
      <alignment horizontal="center" shrinkToFit="0" vertical="center" wrapText="0"/>
    </xf>
    <xf borderId="22" fillId="0" fontId="1" numFmtId="3" xfId="0" applyAlignment="1" applyBorder="1" applyFont="1" applyNumberFormat="1">
      <alignment shrinkToFit="0" vertical="center" wrapText="0"/>
    </xf>
    <xf borderId="21" fillId="0" fontId="1" numFmtId="3" xfId="0" applyAlignment="1" applyBorder="1" applyFont="1" applyNumberFormat="1">
      <alignment shrinkToFit="0" vertical="center" wrapText="0"/>
    </xf>
    <xf borderId="23" fillId="0" fontId="1" numFmtId="3" xfId="0" applyAlignment="1" applyBorder="1" applyFont="1" applyNumberFormat="1">
      <alignment shrinkToFit="0" vertical="center" wrapText="0"/>
    </xf>
    <xf borderId="24" fillId="0" fontId="1" numFmtId="3" xfId="0" applyAlignment="1" applyBorder="1" applyFont="1" applyNumberFormat="1">
      <alignment shrinkToFit="0" vertical="center" wrapText="0"/>
    </xf>
    <xf borderId="6" fillId="2" fontId="4" numFmtId="164" xfId="0" applyAlignment="1" applyBorder="1" applyFont="1" applyNumberFormat="1">
      <alignment horizontal="left" shrinkToFit="0" vertical="center" wrapText="0"/>
    </xf>
    <xf borderId="13" fillId="0" fontId="4" numFmtId="0" xfId="0" applyAlignment="1" applyBorder="1" applyFont="1">
      <alignment horizontal="center" shrinkToFit="0" vertical="center" wrapText="0"/>
    </xf>
    <xf borderId="25" fillId="2" fontId="4" numFmtId="0" xfId="0" applyAlignment="1" applyBorder="1" applyFont="1">
      <alignment shrinkToFit="0" vertical="center" wrapText="0"/>
    </xf>
    <xf borderId="26" fillId="2" fontId="5" numFmtId="164" xfId="0" applyAlignment="1" applyBorder="1" applyFont="1" applyNumberFormat="1">
      <alignment horizontal="left" shrinkToFit="0" vertical="center" wrapText="1"/>
    </xf>
    <xf borderId="27" fillId="2" fontId="5" numFmtId="164" xfId="0" applyAlignment="1" applyBorder="1" applyFont="1" applyNumberFormat="1">
      <alignment horizontal="left" shrinkToFit="0" vertical="center" wrapText="1"/>
    </xf>
    <xf borderId="6" fillId="2" fontId="5" numFmtId="164" xfId="0" applyAlignment="1" applyBorder="1" applyFont="1" applyNumberFormat="1">
      <alignment horizontal="left" shrinkToFit="0" vertical="center" wrapText="1"/>
    </xf>
    <xf borderId="16" fillId="2" fontId="4" numFmtId="0" xfId="0" applyAlignment="1" applyBorder="1" applyFont="1">
      <alignment shrinkToFit="0" vertical="center" wrapText="0"/>
    </xf>
    <xf borderId="17" fillId="3" fontId="1" numFmtId="3" xfId="0" applyAlignment="1" applyBorder="1" applyFill="1" applyFont="1" applyNumberFormat="1">
      <alignment horizontal="right" shrinkToFit="0" vertical="center" wrapText="0"/>
    </xf>
    <xf borderId="26" fillId="2" fontId="4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25" fillId="2" fontId="3" numFmtId="0" xfId="0" applyAlignment="1" applyBorder="1" applyFont="1">
      <alignment shrinkToFit="0" vertical="center" wrapText="0"/>
    </xf>
    <xf borderId="28" fillId="0" fontId="3" numFmtId="0" xfId="0" applyAlignment="1" applyBorder="1" applyFont="1">
      <alignment horizontal="center" shrinkToFit="0" vertical="center" wrapText="0"/>
    </xf>
    <xf borderId="26" fillId="2" fontId="3" numFmtId="164" xfId="0" applyAlignment="1" applyBorder="1" applyFont="1" applyNumberFormat="1">
      <alignment horizontal="left" shrinkToFit="0" vertical="center" wrapText="0"/>
    </xf>
    <xf borderId="28" fillId="0" fontId="1" numFmtId="3" xfId="0" applyAlignment="1" applyBorder="1" applyFont="1" applyNumberFormat="1">
      <alignment shrinkToFit="0" vertical="center" wrapText="0"/>
    </xf>
    <xf borderId="29" fillId="0" fontId="1" numFmtId="3" xfId="0" applyAlignment="1" applyBorder="1" applyFont="1" applyNumberFormat="1">
      <alignment shrinkToFit="0" vertical="center" wrapText="0"/>
    </xf>
    <xf borderId="9" fillId="0" fontId="2" numFmtId="3" xfId="0" applyAlignment="1" applyBorder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30" fillId="0" fontId="7" numFmtId="0" xfId="0" applyAlignment="1" applyBorder="1" applyFon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9.57"/>
    <col customWidth="1" min="3" max="9" width="13.14"/>
    <col customWidth="1" min="10" max="10" width="10.14"/>
    <col customWidth="1" min="11" max="11" width="9.29"/>
    <col customWidth="1" min="12" max="12" width="9.14"/>
    <col customWidth="1" min="13" max="13" width="10.14"/>
    <col customWidth="1" min="14" max="14" width="9.14"/>
    <col customWidth="1" min="15" max="15" width="9.86"/>
    <col customWidth="1" min="16" max="16" width="10.71"/>
    <col customWidth="1" min="17" max="21" width="9.14"/>
    <col customWidth="1" min="22" max="22" width="10.57"/>
    <col customWidth="1" min="23" max="24" width="11.71"/>
    <col customWidth="1" min="25" max="25" width="11.0"/>
    <col customWidth="1" min="26" max="26" width="9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"/>
      <c r="Z4" s="1"/>
    </row>
    <row r="5" ht="28.5" customHeight="1">
      <c r="A5" s="3" t="s">
        <v>3</v>
      </c>
      <c r="B5" s="4" t="s">
        <v>4</v>
      </c>
      <c r="C5" s="4">
        <v>2023.0</v>
      </c>
      <c r="D5" s="4">
        <v>2022.0</v>
      </c>
      <c r="E5" s="4">
        <v>2021.0</v>
      </c>
      <c r="F5" s="4">
        <v>2020.0</v>
      </c>
      <c r="G5" s="4">
        <v>2019.0</v>
      </c>
      <c r="H5" s="4">
        <v>2018.0</v>
      </c>
      <c r="I5" s="4">
        <v>2017.0</v>
      </c>
      <c r="J5" s="4">
        <v>2016.0</v>
      </c>
      <c r="K5" s="4">
        <v>2015.0</v>
      </c>
      <c r="L5" s="4">
        <v>2014.0</v>
      </c>
      <c r="M5" s="4">
        <v>2013.0</v>
      </c>
      <c r="N5" s="4">
        <v>2012.0</v>
      </c>
      <c r="O5" s="4">
        <v>2011.0</v>
      </c>
      <c r="P5" s="4">
        <v>2010.0</v>
      </c>
      <c r="Q5" s="4">
        <v>2009.0</v>
      </c>
      <c r="R5" s="4">
        <v>2008.0</v>
      </c>
      <c r="S5" s="4">
        <v>2007.0</v>
      </c>
      <c r="T5" s="4">
        <v>2006.0</v>
      </c>
      <c r="U5" s="4">
        <v>2005.0</v>
      </c>
      <c r="V5" s="4">
        <v>2004.0</v>
      </c>
      <c r="W5" s="4">
        <v>2003.0</v>
      </c>
      <c r="X5" s="4">
        <v>2002.0</v>
      </c>
      <c r="Y5" s="4">
        <v>2001.0</v>
      </c>
      <c r="Z5" s="1"/>
    </row>
    <row r="6">
      <c r="A6" s="5" t="s">
        <v>5</v>
      </c>
      <c r="B6" s="6" t="s">
        <v>6</v>
      </c>
      <c r="C6" s="7"/>
      <c r="D6" s="7"/>
      <c r="E6" s="7">
        <v>2000.0</v>
      </c>
      <c r="F6" s="7">
        <v>2000.0</v>
      </c>
      <c r="G6" s="7"/>
      <c r="H6" s="7"/>
      <c r="I6" s="7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/>
    </row>
    <row r="7" ht="15.75" customHeight="1">
      <c r="A7" s="9" t="s">
        <v>5</v>
      </c>
      <c r="B7" s="10" t="s">
        <v>7</v>
      </c>
      <c r="C7" s="11"/>
      <c r="D7" s="11"/>
      <c r="E7" s="11">
        <v>2145.0</v>
      </c>
      <c r="F7" s="11">
        <v>2145.0</v>
      </c>
      <c r="G7" s="11"/>
      <c r="H7" s="11"/>
      <c r="I7" s="11">
        <v>503.8</v>
      </c>
      <c r="J7" s="11">
        <v>429.4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"/>
    </row>
    <row r="8" ht="15.75" customHeight="1">
      <c r="A8" s="13" t="s">
        <v>5</v>
      </c>
      <c r="B8" s="14" t="s">
        <v>8</v>
      </c>
      <c r="C8" s="15"/>
      <c r="D8" s="15"/>
      <c r="E8" s="15">
        <f t="shared" ref="E8:F8" si="1">SUM(E6:E7)</f>
        <v>4145</v>
      </c>
      <c r="F8" s="15">
        <f t="shared" si="1"/>
        <v>4145</v>
      </c>
      <c r="G8" s="15"/>
      <c r="H8" s="15"/>
      <c r="I8" s="15">
        <f t="shared" ref="I8:J8" si="2">SUM(I6:I7)</f>
        <v>503.8</v>
      </c>
      <c r="J8" s="15">
        <f t="shared" si="2"/>
        <v>429.4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"/>
    </row>
    <row r="9">
      <c r="A9" s="17" t="s">
        <v>9</v>
      </c>
      <c r="B9" s="18" t="s">
        <v>7</v>
      </c>
      <c r="C9" s="19">
        <v>64977.0</v>
      </c>
      <c r="D9" s="19">
        <v>64977.0</v>
      </c>
      <c r="E9" s="19">
        <v>63569.0</v>
      </c>
      <c r="F9" s="19">
        <v>63569.0</v>
      </c>
      <c r="G9" s="19">
        <v>62729.0</v>
      </c>
      <c r="H9" s="19">
        <v>63879.0</v>
      </c>
      <c r="I9" s="19">
        <v>74255.0</v>
      </c>
      <c r="J9" s="19">
        <v>87657.0</v>
      </c>
      <c r="K9" s="20">
        <v>87657.0</v>
      </c>
      <c r="L9" s="20">
        <v>86004.0</v>
      </c>
      <c r="M9" s="20">
        <v>102840.0</v>
      </c>
      <c r="N9" s="20">
        <v>125667.0</v>
      </c>
      <c r="O9" s="20">
        <v>153391.0</v>
      </c>
      <c r="P9" s="20">
        <v>154783.0</v>
      </c>
      <c r="Q9" s="20">
        <v>154335.0</v>
      </c>
      <c r="R9" s="20">
        <v>155972.0</v>
      </c>
      <c r="S9" s="20">
        <v>153281.0</v>
      </c>
      <c r="T9" s="20">
        <v>162627.0</v>
      </c>
      <c r="U9" s="20">
        <v>165910.0</v>
      </c>
      <c r="V9" s="20">
        <v>188000.0</v>
      </c>
      <c r="W9" s="20">
        <v>188000.0</v>
      </c>
      <c r="X9" s="20">
        <v>165000.0</v>
      </c>
      <c r="Y9" s="20">
        <v>245000.0</v>
      </c>
      <c r="Z9" s="1"/>
    </row>
    <row r="10">
      <c r="A10" s="21" t="s">
        <v>10</v>
      </c>
      <c r="B10" s="22" t="s">
        <v>7</v>
      </c>
      <c r="C10" s="23"/>
      <c r="D10" s="23"/>
      <c r="E10" s="23"/>
      <c r="F10" s="23"/>
      <c r="G10" s="23"/>
      <c r="H10" s="23"/>
      <c r="I10" s="23">
        <v>460.0</v>
      </c>
      <c r="J10" s="23">
        <v>613.0</v>
      </c>
      <c r="K10" s="24">
        <v>1243.0</v>
      </c>
      <c r="L10" s="24">
        <v>4377.0</v>
      </c>
      <c r="M10" s="24">
        <v>6383.0</v>
      </c>
      <c r="N10" s="24">
        <v>10185.0</v>
      </c>
      <c r="O10" s="24">
        <v>10448.0</v>
      </c>
      <c r="P10" s="24">
        <v>13500.0</v>
      </c>
      <c r="Q10" s="24">
        <v>12407.0</v>
      </c>
      <c r="R10" s="24">
        <v>12917.0</v>
      </c>
      <c r="S10" s="24">
        <v>15137.0</v>
      </c>
      <c r="T10" s="24">
        <v>20915.0</v>
      </c>
      <c r="U10" s="24">
        <v>22600.0</v>
      </c>
      <c r="V10" s="24">
        <v>18781.0</v>
      </c>
      <c r="W10" s="24">
        <v>18000.0</v>
      </c>
      <c r="X10" s="24">
        <v>19500.0</v>
      </c>
      <c r="Y10" s="24">
        <v>19400.0</v>
      </c>
      <c r="Z10" s="1"/>
    </row>
    <row r="11">
      <c r="A11" s="25" t="s">
        <v>11</v>
      </c>
      <c r="B11" s="26" t="s">
        <v>12</v>
      </c>
      <c r="C11" s="27">
        <v>5633.0</v>
      </c>
      <c r="D11" s="27">
        <v>6500.0</v>
      </c>
      <c r="E11" s="27">
        <v>6250.0</v>
      </c>
      <c r="F11" s="27">
        <v>8600.0</v>
      </c>
      <c r="G11" s="27">
        <v>9000.0</v>
      </c>
      <c r="H11" s="27">
        <v>11300.0</v>
      </c>
      <c r="I11" s="27">
        <v>9670.0</v>
      </c>
      <c r="J11" s="27">
        <v>11328.0</v>
      </c>
      <c r="K11" s="28">
        <v>9129.0</v>
      </c>
      <c r="L11" s="28">
        <v>11973.0</v>
      </c>
      <c r="M11" s="28">
        <v>11858.2</v>
      </c>
      <c r="N11" s="28">
        <v>12918.0</v>
      </c>
      <c r="O11" s="28">
        <v>11556.5</v>
      </c>
      <c r="P11" s="28">
        <v>12273.0</v>
      </c>
      <c r="Q11" s="28">
        <v>12088.0</v>
      </c>
      <c r="R11" s="28">
        <v>12088.0</v>
      </c>
      <c r="S11" s="28"/>
      <c r="T11" s="28"/>
      <c r="U11" s="28"/>
      <c r="V11" s="28"/>
      <c r="W11" s="28"/>
      <c r="X11" s="28"/>
      <c r="Y11" s="28"/>
      <c r="Z11" s="1"/>
    </row>
    <row r="12">
      <c r="A12" s="29" t="s">
        <v>11</v>
      </c>
      <c r="B12" s="30" t="s">
        <v>13</v>
      </c>
      <c r="C12" s="31">
        <v>49800.0</v>
      </c>
      <c r="D12" s="31">
        <v>46100.0</v>
      </c>
      <c r="E12" s="31">
        <v>52060.0</v>
      </c>
      <c r="F12" s="31">
        <v>58335.0</v>
      </c>
      <c r="G12" s="31">
        <v>51335.0</v>
      </c>
      <c r="H12" s="31">
        <v>71000.0</v>
      </c>
      <c r="I12" s="31">
        <v>85201.0</v>
      </c>
      <c r="J12" s="31">
        <v>92533.0</v>
      </c>
      <c r="K12" s="32">
        <v>94321.0</v>
      </c>
      <c r="L12" s="32">
        <v>99366.0</v>
      </c>
      <c r="M12" s="32">
        <v>98473.7</v>
      </c>
      <c r="N12" s="32">
        <v>100861.0</v>
      </c>
      <c r="O12" s="32">
        <v>102338.0</v>
      </c>
      <c r="P12" s="32">
        <v>103344.0</v>
      </c>
      <c r="Q12" s="32">
        <v>91373.0</v>
      </c>
      <c r="R12" s="32">
        <v>91252.4</v>
      </c>
      <c r="S12" s="32"/>
      <c r="T12" s="32"/>
      <c r="U12" s="32"/>
      <c r="V12" s="32"/>
      <c r="W12" s="32"/>
      <c r="X12" s="32"/>
      <c r="Y12" s="32"/>
      <c r="Z12" s="1"/>
    </row>
    <row r="13" ht="15.75" customHeight="1">
      <c r="A13" s="9" t="s">
        <v>11</v>
      </c>
      <c r="B13" s="33" t="s">
        <v>14</v>
      </c>
      <c r="C13" s="11">
        <v>42730.0</v>
      </c>
      <c r="D13" s="11">
        <v>40280.0</v>
      </c>
      <c r="E13" s="11">
        <v>40000.0</v>
      </c>
      <c r="F13" s="11">
        <v>39250.0</v>
      </c>
      <c r="G13" s="11">
        <v>37000.0</v>
      </c>
      <c r="H13" s="11">
        <v>47700.0</v>
      </c>
      <c r="I13" s="11">
        <v>46770.0</v>
      </c>
      <c r="J13" s="11">
        <v>45892.0</v>
      </c>
      <c r="K13" s="12">
        <v>35228.0</v>
      </c>
      <c r="L13" s="12">
        <v>32600.0</v>
      </c>
      <c r="M13" s="12">
        <v>24178.9</v>
      </c>
      <c r="N13" s="12">
        <v>24434.0</v>
      </c>
      <c r="O13" s="12">
        <v>24939.0</v>
      </c>
      <c r="P13" s="12">
        <v>23933.0</v>
      </c>
      <c r="Q13" s="12">
        <v>22709.0</v>
      </c>
      <c r="R13" s="12">
        <v>21693.0</v>
      </c>
      <c r="S13" s="12"/>
      <c r="T13" s="12"/>
      <c r="U13" s="12"/>
      <c r="V13" s="12"/>
      <c r="W13" s="12"/>
      <c r="X13" s="12"/>
      <c r="Y13" s="12"/>
      <c r="Z13" s="1"/>
    </row>
    <row r="14" ht="15.75" customHeight="1">
      <c r="A14" s="13" t="s">
        <v>11</v>
      </c>
      <c r="B14" s="14" t="s">
        <v>8</v>
      </c>
      <c r="C14" s="15">
        <f t="shared" ref="C14:R14" si="3">SUM(C11:C13)</f>
        <v>98163</v>
      </c>
      <c r="D14" s="15">
        <f t="shared" si="3"/>
        <v>92880</v>
      </c>
      <c r="E14" s="15">
        <f t="shared" si="3"/>
        <v>98310</v>
      </c>
      <c r="F14" s="15">
        <f t="shared" si="3"/>
        <v>106185</v>
      </c>
      <c r="G14" s="15">
        <f t="shared" si="3"/>
        <v>97335</v>
      </c>
      <c r="H14" s="15">
        <f t="shared" si="3"/>
        <v>130000</v>
      </c>
      <c r="I14" s="15">
        <f t="shared" si="3"/>
        <v>141641</v>
      </c>
      <c r="J14" s="15">
        <f t="shared" si="3"/>
        <v>149753</v>
      </c>
      <c r="K14" s="15">
        <f t="shared" si="3"/>
        <v>138678</v>
      </c>
      <c r="L14" s="15">
        <f t="shared" si="3"/>
        <v>143939</v>
      </c>
      <c r="M14" s="15">
        <f t="shared" si="3"/>
        <v>134510.8</v>
      </c>
      <c r="N14" s="15">
        <f t="shared" si="3"/>
        <v>138213</v>
      </c>
      <c r="O14" s="15">
        <f t="shared" si="3"/>
        <v>138833.5</v>
      </c>
      <c r="P14" s="15">
        <f t="shared" si="3"/>
        <v>139550</v>
      </c>
      <c r="Q14" s="15">
        <f t="shared" si="3"/>
        <v>126170</v>
      </c>
      <c r="R14" s="15">
        <f t="shared" si="3"/>
        <v>125033.4</v>
      </c>
      <c r="S14" s="16">
        <v>151792.0</v>
      </c>
      <c r="T14" s="16">
        <v>97794.0</v>
      </c>
      <c r="U14" s="16">
        <v>97175.0</v>
      </c>
      <c r="V14" s="16">
        <v>96710.0</v>
      </c>
      <c r="W14" s="16">
        <v>95200.0</v>
      </c>
      <c r="X14" s="16">
        <v>103000.0</v>
      </c>
      <c r="Y14" s="16">
        <v>95600.0</v>
      </c>
      <c r="Z14" s="1"/>
    </row>
    <row r="15">
      <c r="A15" s="5" t="s">
        <v>15</v>
      </c>
      <c r="B15" s="6" t="s">
        <v>6</v>
      </c>
      <c r="C15" s="7"/>
      <c r="D15" s="7"/>
      <c r="E15" s="7"/>
      <c r="F15" s="7"/>
      <c r="G15" s="7"/>
      <c r="H15" s="7">
        <v>45.0</v>
      </c>
      <c r="I15" s="7">
        <v>45.0</v>
      </c>
      <c r="J15" s="7">
        <v>70.0</v>
      </c>
      <c r="K15" s="8">
        <v>111.0</v>
      </c>
      <c r="L15" s="8">
        <v>135.0</v>
      </c>
      <c r="M15" s="8">
        <v>85.0</v>
      </c>
      <c r="N15" s="8">
        <v>136.0</v>
      </c>
      <c r="O15" s="8">
        <v>1591.0</v>
      </c>
      <c r="P15" s="8">
        <v>1216.0</v>
      </c>
      <c r="Q15" s="8">
        <v>1216.0</v>
      </c>
      <c r="R15" s="8">
        <v>1425.0</v>
      </c>
      <c r="S15" s="8"/>
      <c r="T15" s="8"/>
      <c r="U15" s="8"/>
      <c r="V15" s="8"/>
      <c r="W15" s="8"/>
      <c r="X15" s="8"/>
      <c r="Y15" s="8"/>
      <c r="Z15" s="1"/>
    </row>
    <row r="16" ht="15.75" customHeight="1">
      <c r="A16" s="9" t="s">
        <v>15</v>
      </c>
      <c r="B16" s="34" t="s">
        <v>7</v>
      </c>
      <c r="C16" s="11">
        <v>11190.0</v>
      </c>
      <c r="D16" s="11">
        <v>11052.0</v>
      </c>
      <c r="E16" s="11">
        <v>10776.0</v>
      </c>
      <c r="F16" s="11">
        <v>9602.0</v>
      </c>
      <c r="G16" s="11">
        <v>8422.0</v>
      </c>
      <c r="H16" s="11">
        <v>9265.0</v>
      </c>
      <c r="I16" s="11">
        <v>9518.0</v>
      </c>
      <c r="J16" s="11">
        <v>14123.0</v>
      </c>
      <c r="K16" s="12">
        <v>20078.0</v>
      </c>
      <c r="L16" s="12">
        <v>19980.0</v>
      </c>
      <c r="M16" s="12">
        <v>20805.0</v>
      </c>
      <c r="N16" s="12">
        <v>20892.0</v>
      </c>
      <c r="O16" s="12">
        <v>18293.0</v>
      </c>
      <c r="P16" s="12">
        <v>13970.0</v>
      </c>
      <c r="Q16" s="12">
        <v>14056.0</v>
      </c>
      <c r="R16" s="12">
        <v>13582.0</v>
      </c>
      <c r="S16" s="12"/>
      <c r="T16" s="12"/>
      <c r="U16" s="12"/>
      <c r="V16" s="12"/>
      <c r="W16" s="12"/>
      <c r="X16" s="12"/>
      <c r="Y16" s="12"/>
      <c r="Z16" s="1"/>
    </row>
    <row r="17" ht="15.75" customHeight="1">
      <c r="A17" s="13" t="s">
        <v>15</v>
      </c>
      <c r="B17" s="14" t="s">
        <v>8</v>
      </c>
      <c r="C17" s="15">
        <f t="shared" ref="C17:R17" si="4">SUM(C15:C16)</f>
        <v>11190</v>
      </c>
      <c r="D17" s="15">
        <f t="shared" si="4"/>
        <v>11052</v>
      </c>
      <c r="E17" s="15">
        <f t="shared" si="4"/>
        <v>10776</v>
      </c>
      <c r="F17" s="15">
        <f t="shared" si="4"/>
        <v>9602</v>
      </c>
      <c r="G17" s="15">
        <f t="shared" si="4"/>
        <v>8422</v>
      </c>
      <c r="H17" s="15">
        <f t="shared" si="4"/>
        <v>9310</v>
      </c>
      <c r="I17" s="15">
        <f t="shared" si="4"/>
        <v>9563</v>
      </c>
      <c r="J17" s="15">
        <f t="shared" si="4"/>
        <v>14193</v>
      </c>
      <c r="K17" s="15">
        <f t="shared" si="4"/>
        <v>20189</v>
      </c>
      <c r="L17" s="15">
        <f t="shared" si="4"/>
        <v>20115</v>
      </c>
      <c r="M17" s="15">
        <f t="shared" si="4"/>
        <v>20890</v>
      </c>
      <c r="N17" s="15">
        <f t="shared" si="4"/>
        <v>21028</v>
      </c>
      <c r="O17" s="15">
        <f t="shared" si="4"/>
        <v>19884</v>
      </c>
      <c r="P17" s="15">
        <f t="shared" si="4"/>
        <v>15186</v>
      </c>
      <c r="Q17" s="15">
        <f t="shared" si="4"/>
        <v>15272</v>
      </c>
      <c r="R17" s="15">
        <f t="shared" si="4"/>
        <v>15007</v>
      </c>
      <c r="S17" s="16">
        <v>16227.0</v>
      </c>
      <c r="T17" s="16">
        <v>32230.0</v>
      </c>
      <c r="U17" s="16">
        <v>34500.0</v>
      </c>
      <c r="V17" s="16">
        <v>34517.0</v>
      </c>
      <c r="W17" s="16">
        <v>36100.0</v>
      </c>
      <c r="X17" s="16">
        <v>36900.0</v>
      </c>
      <c r="Y17" s="16">
        <v>38100.0</v>
      </c>
      <c r="Z17" s="1"/>
    </row>
    <row r="18">
      <c r="A18" s="35" t="s">
        <v>16</v>
      </c>
      <c r="B18" s="36" t="s">
        <v>6</v>
      </c>
      <c r="C18" s="19">
        <v>5904.0</v>
      </c>
      <c r="D18" s="19">
        <v>6193.0</v>
      </c>
      <c r="E18" s="19">
        <v>5733.0</v>
      </c>
      <c r="F18" s="19">
        <v>6135.0</v>
      </c>
      <c r="G18" s="19">
        <v>6932.0</v>
      </c>
      <c r="H18" s="19">
        <v>5905.0</v>
      </c>
      <c r="I18" s="19">
        <v>5516.0</v>
      </c>
      <c r="J18" s="19">
        <v>5626.6</v>
      </c>
      <c r="K18" s="20">
        <v>6175.0</v>
      </c>
      <c r="L18" s="20">
        <v>6136.8</v>
      </c>
      <c r="M18" s="20">
        <v>6382.6</v>
      </c>
      <c r="N18" s="20">
        <v>6320.0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1"/>
    </row>
    <row r="19" ht="24.0" customHeight="1">
      <c r="A19" s="25" t="s">
        <v>17</v>
      </c>
      <c r="B19" s="37" t="s">
        <v>18</v>
      </c>
      <c r="C19" s="27">
        <v>532167.0</v>
      </c>
      <c r="D19" s="27">
        <v>496684.0</v>
      </c>
      <c r="E19" s="27">
        <v>491785.0</v>
      </c>
      <c r="F19" s="27">
        <v>538393.8</v>
      </c>
      <c r="G19" s="27">
        <v>496613.4</v>
      </c>
      <c r="H19" s="27">
        <v>514193.0</v>
      </c>
      <c r="I19" s="27">
        <v>496493.0</v>
      </c>
      <c r="J19" s="27">
        <v>524220.0</v>
      </c>
      <c r="K19" s="28">
        <v>478056.0</v>
      </c>
      <c r="L19" s="28">
        <v>501214.0</v>
      </c>
      <c r="M19" s="28">
        <v>521187.0</v>
      </c>
      <c r="N19" s="28">
        <v>518082.0</v>
      </c>
      <c r="O19" s="28">
        <v>505201.0</v>
      </c>
      <c r="P19" s="28">
        <v>509687.0</v>
      </c>
      <c r="Q19" s="28">
        <v>506468.0</v>
      </c>
      <c r="R19" s="28">
        <v>551471.0</v>
      </c>
      <c r="S19" s="28">
        <v>506618.0</v>
      </c>
      <c r="T19" s="28"/>
      <c r="U19" s="28"/>
      <c r="V19" s="28"/>
      <c r="W19" s="28"/>
      <c r="X19" s="28"/>
      <c r="Y19" s="28"/>
      <c r="Z19" s="1"/>
    </row>
    <row r="20" ht="36.0" customHeight="1">
      <c r="A20" s="29" t="s">
        <v>17</v>
      </c>
      <c r="B20" s="38" t="s">
        <v>19</v>
      </c>
      <c r="C20" s="31">
        <v>199471.0</v>
      </c>
      <c r="D20" s="31">
        <v>181703.0</v>
      </c>
      <c r="E20" s="31">
        <v>189604.0</v>
      </c>
      <c r="F20" s="31">
        <v>193826.6</v>
      </c>
      <c r="G20" s="31">
        <v>185688.2</v>
      </c>
      <c r="H20" s="31">
        <v>189183.0</v>
      </c>
      <c r="I20" s="31">
        <v>169867.0</v>
      </c>
      <c r="J20" s="31">
        <v>183076.0</v>
      </c>
      <c r="K20" s="32">
        <v>170634.0</v>
      </c>
      <c r="L20" s="32">
        <v>174369.0</v>
      </c>
      <c r="M20" s="32">
        <v>169415.0</v>
      </c>
      <c r="N20" s="32">
        <v>168463.0</v>
      </c>
      <c r="O20" s="32">
        <v>161105.0</v>
      </c>
      <c r="P20" s="32">
        <v>162217.0</v>
      </c>
      <c r="Q20" s="32">
        <v>159042.0</v>
      </c>
      <c r="R20" s="32">
        <v>158753.0</v>
      </c>
      <c r="S20" s="32">
        <v>155310.0</v>
      </c>
      <c r="T20" s="32"/>
      <c r="U20" s="32"/>
      <c r="V20" s="32"/>
      <c r="W20" s="32"/>
      <c r="X20" s="32"/>
      <c r="Y20" s="32"/>
      <c r="Z20" s="1"/>
    </row>
    <row r="21" ht="36.0" customHeight="1">
      <c r="A21" s="29" t="s">
        <v>17</v>
      </c>
      <c r="B21" s="38" t="s">
        <v>20</v>
      </c>
      <c r="C21" s="31">
        <v>317380.0</v>
      </c>
      <c r="D21" s="31">
        <v>306351.0</v>
      </c>
      <c r="E21" s="31">
        <v>266368.0</v>
      </c>
      <c r="F21" s="31">
        <v>278170.0</v>
      </c>
      <c r="G21" s="31">
        <v>270373.0</v>
      </c>
      <c r="H21" s="31">
        <v>270354.0</v>
      </c>
      <c r="I21" s="31">
        <v>273448.0</v>
      </c>
      <c r="J21" s="31">
        <v>261317.0</v>
      </c>
      <c r="K21" s="32">
        <v>278646.0</v>
      </c>
      <c r="L21" s="32">
        <v>284582.0</v>
      </c>
      <c r="M21" s="32">
        <v>301152.0</v>
      </c>
      <c r="N21" s="32">
        <v>326589.0</v>
      </c>
      <c r="O21" s="32">
        <v>319362.0</v>
      </c>
      <c r="P21" s="32">
        <v>320123.0</v>
      </c>
      <c r="Q21" s="32">
        <v>317774.0</v>
      </c>
      <c r="R21" s="32">
        <v>336192.0</v>
      </c>
      <c r="S21" s="32">
        <v>354486.0</v>
      </c>
      <c r="T21" s="32"/>
      <c r="U21" s="32"/>
      <c r="V21" s="32"/>
      <c r="W21" s="32"/>
      <c r="X21" s="32"/>
      <c r="Y21" s="32"/>
      <c r="Z21" s="1"/>
    </row>
    <row r="22" ht="36.0" customHeight="1">
      <c r="A22" s="29" t="s">
        <v>17</v>
      </c>
      <c r="B22" s="38" t="s">
        <v>21</v>
      </c>
      <c r="C22" s="31">
        <v>6426.0</v>
      </c>
      <c r="D22" s="31">
        <v>6458.0</v>
      </c>
      <c r="E22" s="31">
        <v>5535.0</v>
      </c>
      <c r="F22" s="31">
        <v>5923.0</v>
      </c>
      <c r="G22" s="31">
        <v>6147.0</v>
      </c>
      <c r="H22" s="31">
        <v>8457.0</v>
      </c>
      <c r="I22" s="31">
        <v>8457.0</v>
      </c>
      <c r="J22" s="31">
        <v>8276.0</v>
      </c>
      <c r="K22" s="32">
        <v>8694.0</v>
      </c>
      <c r="L22" s="32">
        <v>8755.0</v>
      </c>
      <c r="M22" s="32">
        <v>8441.0</v>
      </c>
      <c r="N22" s="32">
        <v>15291.0</v>
      </c>
      <c r="O22" s="32">
        <v>15201.0</v>
      </c>
      <c r="P22" s="32">
        <v>14692.0</v>
      </c>
      <c r="Q22" s="32">
        <v>17447.0</v>
      </c>
      <c r="R22" s="32">
        <v>1756.0</v>
      </c>
      <c r="S22" s="32"/>
      <c r="T22" s="32"/>
      <c r="U22" s="32"/>
      <c r="V22" s="32"/>
      <c r="W22" s="32"/>
      <c r="X22" s="32"/>
      <c r="Y22" s="32"/>
      <c r="Z22" s="1"/>
    </row>
    <row r="23" ht="24.0" customHeight="1">
      <c r="A23" s="29" t="s">
        <v>17</v>
      </c>
      <c r="B23" s="38" t="s">
        <v>22</v>
      </c>
      <c r="C23" s="31">
        <v>24697.0</v>
      </c>
      <c r="D23" s="31">
        <v>23310.0</v>
      </c>
      <c r="E23" s="31">
        <v>23177.0</v>
      </c>
      <c r="F23" s="31">
        <v>21890.0</v>
      </c>
      <c r="G23" s="31">
        <v>21594.4</v>
      </c>
      <c r="H23" s="31">
        <v>21854.0</v>
      </c>
      <c r="I23" s="31">
        <v>27943.0</v>
      </c>
      <c r="J23" s="31">
        <v>28136.0</v>
      </c>
      <c r="K23" s="32">
        <v>28161.0</v>
      </c>
      <c r="L23" s="32">
        <v>34914.0</v>
      </c>
      <c r="M23" s="32">
        <v>33057.0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"/>
    </row>
    <row r="24" ht="24.75" customHeight="1">
      <c r="A24" s="29" t="s">
        <v>17</v>
      </c>
      <c r="B24" s="39" t="s">
        <v>23</v>
      </c>
      <c r="C24" s="11">
        <v>3460.0</v>
      </c>
      <c r="D24" s="11">
        <v>3478.0</v>
      </c>
      <c r="E24" s="11">
        <v>2980.0</v>
      </c>
      <c r="F24" s="11">
        <v>3189.0</v>
      </c>
      <c r="G24" s="11">
        <v>3310.0</v>
      </c>
      <c r="H24" s="11">
        <v>4554.0</v>
      </c>
      <c r="I24" s="11">
        <v>4554.0</v>
      </c>
      <c r="J24" s="11">
        <v>4456.0</v>
      </c>
      <c r="K24" s="12">
        <v>4681.0</v>
      </c>
      <c r="L24" s="12">
        <v>4714.0</v>
      </c>
      <c r="M24" s="12">
        <v>4545.0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"/>
    </row>
    <row r="25" ht="15.75" customHeight="1">
      <c r="A25" s="13" t="s">
        <v>17</v>
      </c>
      <c r="B25" s="14" t="s">
        <v>8</v>
      </c>
      <c r="C25" s="15">
        <f t="shared" ref="C25:S25" si="5">SUM(C19:C24)</f>
        <v>1083601</v>
      </c>
      <c r="D25" s="15">
        <f t="shared" si="5"/>
        <v>1017984</v>
      </c>
      <c r="E25" s="15">
        <f t="shared" si="5"/>
        <v>979449</v>
      </c>
      <c r="F25" s="15">
        <f t="shared" si="5"/>
        <v>1041392.4</v>
      </c>
      <c r="G25" s="15">
        <f t="shared" si="5"/>
        <v>983726</v>
      </c>
      <c r="H25" s="15">
        <f t="shared" si="5"/>
        <v>1008595</v>
      </c>
      <c r="I25" s="15">
        <f t="shared" si="5"/>
        <v>980762</v>
      </c>
      <c r="J25" s="15">
        <f t="shared" si="5"/>
        <v>1009481</v>
      </c>
      <c r="K25" s="15">
        <f t="shared" si="5"/>
        <v>968872</v>
      </c>
      <c r="L25" s="15">
        <f t="shared" si="5"/>
        <v>1008548</v>
      </c>
      <c r="M25" s="15">
        <f t="shared" si="5"/>
        <v>1037797</v>
      </c>
      <c r="N25" s="15">
        <f t="shared" si="5"/>
        <v>1028425</v>
      </c>
      <c r="O25" s="15">
        <f t="shared" si="5"/>
        <v>1000869</v>
      </c>
      <c r="P25" s="15">
        <f t="shared" si="5"/>
        <v>1006719</v>
      </c>
      <c r="Q25" s="15">
        <f t="shared" si="5"/>
        <v>1000731</v>
      </c>
      <c r="R25" s="15">
        <f t="shared" si="5"/>
        <v>1048172</v>
      </c>
      <c r="S25" s="15">
        <f t="shared" si="5"/>
        <v>1016414</v>
      </c>
      <c r="T25" s="16">
        <v>1011865.0</v>
      </c>
      <c r="U25" s="16">
        <v>1033533.0</v>
      </c>
      <c r="V25" s="16">
        <v>1001577.0</v>
      </c>
      <c r="W25" s="16">
        <v>977000.0</v>
      </c>
      <c r="X25" s="16">
        <v>1070000.0</v>
      </c>
      <c r="Y25" s="16">
        <v>891100.0</v>
      </c>
      <c r="Z25" s="1"/>
    </row>
    <row r="26" ht="15.75" customHeight="1">
      <c r="A26" s="5" t="s">
        <v>24</v>
      </c>
      <c r="B26" s="6" t="s">
        <v>6</v>
      </c>
      <c r="C26" s="7">
        <v>130839.0</v>
      </c>
      <c r="D26" s="7">
        <v>143305.0</v>
      </c>
      <c r="E26" s="7">
        <v>151584.0</v>
      </c>
      <c r="F26" s="7">
        <v>156294.0</v>
      </c>
      <c r="G26" s="7">
        <v>152097.0</v>
      </c>
      <c r="H26" s="7">
        <v>156603.0</v>
      </c>
      <c r="I26" s="7">
        <v>150123.0</v>
      </c>
      <c r="J26" s="7">
        <v>150025.0</v>
      </c>
      <c r="K26" s="8">
        <v>150118.0</v>
      </c>
      <c r="L26" s="8">
        <v>150118.0</v>
      </c>
      <c r="M26" s="8">
        <v>170043.0</v>
      </c>
      <c r="N26" s="8">
        <v>170022.0</v>
      </c>
      <c r="O26" s="8">
        <v>172445.0</v>
      </c>
      <c r="P26" s="8">
        <v>181367.0</v>
      </c>
      <c r="Q26" s="8">
        <v>184748.0</v>
      </c>
      <c r="R26" s="8">
        <v>195375.0</v>
      </c>
      <c r="S26" s="8"/>
      <c r="T26" s="8"/>
      <c r="U26" s="8"/>
      <c r="V26" s="8"/>
      <c r="W26" s="8"/>
      <c r="X26" s="8"/>
      <c r="Y26" s="8"/>
      <c r="Z26" s="1"/>
    </row>
    <row r="27" ht="15.75" customHeight="1">
      <c r="A27" s="9" t="s">
        <v>24</v>
      </c>
      <c r="B27" s="10" t="s">
        <v>7</v>
      </c>
      <c r="C27" s="11">
        <v>261921.0</v>
      </c>
      <c r="D27" s="11">
        <v>259174.0</v>
      </c>
      <c r="E27" s="11">
        <v>248858.0</v>
      </c>
      <c r="F27" s="11">
        <v>243993.0</v>
      </c>
      <c r="G27" s="11">
        <v>241805.0</v>
      </c>
      <c r="H27" s="11">
        <v>231323.0</v>
      </c>
      <c r="I27" s="11">
        <v>235415.0</v>
      </c>
      <c r="J27" s="11">
        <v>260032.0</v>
      </c>
      <c r="K27" s="12">
        <v>283124.0</v>
      </c>
      <c r="L27" s="12">
        <v>283124.0</v>
      </c>
      <c r="M27" s="12">
        <v>283124.0</v>
      </c>
      <c r="N27" s="12">
        <v>280106.0</v>
      </c>
      <c r="O27" s="12">
        <v>280082.0</v>
      </c>
      <c r="P27" s="12">
        <v>281940.0</v>
      </c>
      <c r="Q27" s="12">
        <v>295050.0</v>
      </c>
      <c r="R27" s="12">
        <v>294217.0</v>
      </c>
      <c r="S27" s="12"/>
      <c r="T27" s="12"/>
      <c r="U27" s="12"/>
      <c r="V27" s="12"/>
      <c r="W27" s="12"/>
      <c r="X27" s="12"/>
      <c r="Y27" s="12"/>
      <c r="Z27" s="1"/>
    </row>
    <row r="28" ht="15.75" customHeight="1">
      <c r="A28" s="13" t="s">
        <v>24</v>
      </c>
      <c r="B28" s="14" t="s">
        <v>8</v>
      </c>
      <c r="C28" s="15">
        <f t="shared" ref="C28:R28" si="6">SUM(C26:C27)</f>
        <v>392760</v>
      </c>
      <c r="D28" s="15">
        <f t="shared" si="6"/>
        <v>402479</v>
      </c>
      <c r="E28" s="15">
        <f t="shared" si="6"/>
        <v>400442</v>
      </c>
      <c r="F28" s="15">
        <f t="shared" si="6"/>
        <v>400287</v>
      </c>
      <c r="G28" s="15">
        <f t="shared" si="6"/>
        <v>393902</v>
      </c>
      <c r="H28" s="15">
        <f t="shared" si="6"/>
        <v>387926</v>
      </c>
      <c r="I28" s="15">
        <f t="shared" si="6"/>
        <v>385538</v>
      </c>
      <c r="J28" s="15">
        <f t="shared" si="6"/>
        <v>410057</v>
      </c>
      <c r="K28" s="15">
        <f t="shared" si="6"/>
        <v>433242</v>
      </c>
      <c r="L28" s="15">
        <f t="shared" si="6"/>
        <v>433242</v>
      </c>
      <c r="M28" s="15">
        <f t="shared" si="6"/>
        <v>453167</v>
      </c>
      <c r="N28" s="15">
        <f t="shared" si="6"/>
        <v>450128</v>
      </c>
      <c r="O28" s="15">
        <f t="shared" si="6"/>
        <v>452527</v>
      </c>
      <c r="P28" s="15">
        <f t="shared" si="6"/>
        <v>463307</v>
      </c>
      <c r="Q28" s="15">
        <f t="shared" si="6"/>
        <v>479798</v>
      </c>
      <c r="R28" s="15">
        <f t="shared" si="6"/>
        <v>489592</v>
      </c>
      <c r="S28" s="16">
        <v>517729.0</v>
      </c>
      <c r="T28" s="16">
        <v>473256.0</v>
      </c>
      <c r="U28" s="16">
        <v>493958.0</v>
      </c>
      <c r="V28" s="16">
        <v>507786.0</v>
      </c>
      <c r="W28" s="16">
        <v>521000.0</v>
      </c>
      <c r="X28" s="16">
        <v>529000.0</v>
      </c>
      <c r="Y28" s="16">
        <v>510930.0</v>
      </c>
      <c r="Z28" s="1"/>
    </row>
    <row r="29" ht="15.75" customHeight="1">
      <c r="A29" s="35" t="s">
        <v>25</v>
      </c>
      <c r="B29" s="36" t="s">
        <v>6</v>
      </c>
      <c r="C29" s="19">
        <v>11098.0</v>
      </c>
      <c r="D29" s="19">
        <v>10474.4</v>
      </c>
      <c r="E29" s="19">
        <v>10552.0</v>
      </c>
      <c r="F29" s="19">
        <v>11969.0</v>
      </c>
      <c r="G29" s="19">
        <v>11713.0</v>
      </c>
      <c r="H29" s="19">
        <v>12030.0</v>
      </c>
      <c r="I29" s="19">
        <v>13053.0</v>
      </c>
      <c r="J29" s="19">
        <v>13022.0</v>
      </c>
      <c r="K29" s="20">
        <v>12538.0</v>
      </c>
      <c r="L29" s="20">
        <v>12783.0</v>
      </c>
      <c r="M29" s="20">
        <v>13276.0</v>
      </c>
      <c r="N29" s="20">
        <v>13225.0</v>
      </c>
      <c r="O29" s="20">
        <v>12221.0</v>
      </c>
      <c r="P29" s="20">
        <v>12445.0</v>
      </c>
      <c r="Q29" s="20">
        <v>13227.0</v>
      </c>
      <c r="R29" s="20">
        <v>12883.9</v>
      </c>
      <c r="S29" s="20">
        <v>14048.0</v>
      </c>
      <c r="T29" s="20">
        <v>13800.0</v>
      </c>
      <c r="U29" s="20">
        <v>13970.0</v>
      </c>
      <c r="V29" s="20">
        <v>13894.0</v>
      </c>
      <c r="W29" s="20">
        <v>11000.0</v>
      </c>
      <c r="X29" s="20">
        <v>12480.0</v>
      </c>
      <c r="Y29" s="20">
        <v>10400.0</v>
      </c>
      <c r="Z29" s="1"/>
    </row>
    <row r="30" ht="15.75" customHeight="1">
      <c r="A30" s="21" t="s">
        <v>26</v>
      </c>
      <c r="B30" s="40" t="s">
        <v>6</v>
      </c>
      <c r="C30" s="23">
        <v>174837.0</v>
      </c>
      <c r="D30" s="23">
        <v>199790.0</v>
      </c>
      <c r="E30" s="23">
        <v>198181.0</v>
      </c>
      <c r="F30" s="23">
        <v>201523.0</v>
      </c>
      <c r="G30" s="23">
        <v>201369.0</v>
      </c>
      <c r="H30" s="23">
        <v>202581.0</v>
      </c>
      <c r="I30" s="23">
        <v>200629.0</v>
      </c>
      <c r="J30" s="23">
        <v>201235.0</v>
      </c>
      <c r="K30" s="24">
        <v>198971.3</v>
      </c>
      <c r="L30" s="24">
        <v>199686.0</v>
      </c>
      <c r="M30" s="24">
        <v>162328.5</v>
      </c>
      <c r="N30" s="24">
        <v>175137.0</v>
      </c>
      <c r="O30" s="41">
        <v>169538.0</v>
      </c>
      <c r="P30" s="24">
        <v>166195.0</v>
      </c>
      <c r="Q30" s="24">
        <v>182020.0</v>
      </c>
      <c r="R30" s="24">
        <v>188495.0</v>
      </c>
      <c r="S30" s="24">
        <v>168700.0</v>
      </c>
      <c r="T30" s="24">
        <v>212100.0</v>
      </c>
      <c r="U30" s="24">
        <v>221040.0</v>
      </c>
      <c r="V30" s="24">
        <v>204700.0</v>
      </c>
      <c r="W30" s="24">
        <v>210000.0</v>
      </c>
      <c r="X30" s="24">
        <v>225000.0</v>
      </c>
      <c r="Y30" s="24">
        <v>223470.0</v>
      </c>
      <c r="Z30" s="1"/>
    </row>
    <row r="31" ht="15.75" customHeight="1">
      <c r="A31" s="25" t="s">
        <v>27</v>
      </c>
      <c r="B31" s="42" t="s">
        <v>6</v>
      </c>
      <c r="C31" s="27">
        <v>25700.0</v>
      </c>
      <c r="D31" s="27">
        <v>27109.0</v>
      </c>
      <c r="E31" s="27">
        <v>33070.0</v>
      </c>
      <c r="F31" s="27">
        <v>35683.0</v>
      </c>
      <c r="G31" s="27">
        <v>36900.0</v>
      </c>
      <c r="H31" s="27">
        <v>37500.0</v>
      </c>
      <c r="I31" s="27">
        <v>43260.0</v>
      </c>
      <c r="J31" s="27">
        <v>46160.0</v>
      </c>
      <c r="K31" s="28">
        <v>44500.0</v>
      </c>
      <c r="L31" s="28">
        <v>33251.0</v>
      </c>
      <c r="M31" s="28">
        <v>65150.0</v>
      </c>
      <c r="N31" s="28">
        <v>67177.0</v>
      </c>
      <c r="O31" s="28">
        <v>74752.0</v>
      </c>
      <c r="P31" s="28">
        <v>82613.0</v>
      </c>
      <c r="Q31" s="28">
        <v>85180.0</v>
      </c>
      <c r="R31" s="28">
        <v>96920.0</v>
      </c>
      <c r="S31" s="28">
        <v>97842.0</v>
      </c>
      <c r="T31" s="28">
        <v>100330.0</v>
      </c>
      <c r="U31" s="28">
        <v>106380.0</v>
      </c>
      <c r="V31" s="28">
        <v>117105.0</v>
      </c>
      <c r="W31" s="28">
        <v>123200.0</v>
      </c>
      <c r="X31" s="28">
        <v>128000.0</v>
      </c>
      <c r="Y31" s="28">
        <v>127700.0</v>
      </c>
      <c r="Z31" s="1"/>
    </row>
    <row r="32" ht="15.75" customHeight="1">
      <c r="A32" s="5" t="s">
        <v>28</v>
      </c>
      <c r="B32" s="6" t="s">
        <v>6</v>
      </c>
      <c r="C32" s="7">
        <v>3060.0</v>
      </c>
      <c r="D32" s="7">
        <v>5058.0</v>
      </c>
      <c r="E32" s="7">
        <v>3165.0</v>
      </c>
      <c r="F32" s="7">
        <v>2454.0</v>
      </c>
      <c r="G32" s="7">
        <v>6187.0</v>
      </c>
      <c r="H32" s="7">
        <v>4511.0</v>
      </c>
      <c r="I32" s="7">
        <v>6293.0</v>
      </c>
      <c r="J32" s="7">
        <v>9206.0</v>
      </c>
      <c r="K32" s="8">
        <v>8450.0</v>
      </c>
      <c r="L32" s="8">
        <v>10862.0</v>
      </c>
      <c r="M32" s="8">
        <v>13305.0</v>
      </c>
      <c r="N32" s="8">
        <v>13831.0</v>
      </c>
      <c r="O32" s="8">
        <v>22834.0</v>
      </c>
      <c r="P32" s="8">
        <v>9791.0</v>
      </c>
      <c r="Q32" s="8">
        <v>9460.0</v>
      </c>
      <c r="R32" s="8">
        <f>9797.6</f>
        <v>9797.6</v>
      </c>
      <c r="S32" s="8"/>
      <c r="T32" s="8"/>
      <c r="U32" s="8"/>
      <c r="V32" s="8"/>
      <c r="W32" s="8"/>
      <c r="X32" s="8"/>
      <c r="Y32" s="8"/>
      <c r="Z32" s="1"/>
    </row>
    <row r="33" ht="15.75" customHeight="1">
      <c r="A33" s="9" t="s">
        <v>28</v>
      </c>
      <c r="B33" s="10" t="s">
        <v>7</v>
      </c>
      <c r="C33" s="11">
        <v>1907.9</v>
      </c>
      <c r="D33" s="11">
        <v>3532.0</v>
      </c>
      <c r="E33" s="11">
        <v>1428.0</v>
      </c>
      <c r="F33" s="11">
        <v>1372.0</v>
      </c>
      <c r="G33" s="11">
        <v>3694.0</v>
      </c>
      <c r="H33" s="11">
        <v>2085.8</v>
      </c>
      <c r="I33" s="11">
        <v>1652.0</v>
      </c>
      <c r="J33" s="11">
        <f>3244.6</f>
        <v>3244.6</v>
      </c>
      <c r="K33" s="12">
        <v>1559.0</v>
      </c>
      <c r="L33" s="12">
        <v>1725.0</v>
      </c>
      <c r="M33" s="12">
        <v>395.0</v>
      </c>
      <c r="N33" s="12">
        <v>338.0</v>
      </c>
      <c r="O33" s="12">
        <f>643+466</f>
        <v>1109</v>
      </c>
      <c r="P33" s="12">
        <f>655+14686</f>
        <v>15341</v>
      </c>
      <c r="Q33" s="12">
        <f>696+13613</f>
        <v>14309</v>
      </c>
      <c r="R33" s="12">
        <f>678.1+14696.4</f>
        <v>15374.5</v>
      </c>
      <c r="S33" s="12"/>
      <c r="T33" s="12"/>
      <c r="U33" s="12"/>
      <c r="V33" s="12"/>
      <c r="W33" s="12"/>
      <c r="X33" s="12"/>
      <c r="Y33" s="12"/>
      <c r="Z33" s="1"/>
    </row>
    <row r="34" ht="15.75" customHeight="1">
      <c r="A34" s="13" t="s">
        <v>28</v>
      </c>
      <c r="B34" s="14" t="s">
        <v>8</v>
      </c>
      <c r="C34" s="15">
        <f t="shared" ref="C34:R34" si="7">SUM(C32:C33)</f>
        <v>4967.9</v>
      </c>
      <c r="D34" s="15">
        <f t="shared" si="7"/>
        <v>8590</v>
      </c>
      <c r="E34" s="15">
        <f t="shared" si="7"/>
        <v>4593</v>
      </c>
      <c r="F34" s="15">
        <f t="shared" si="7"/>
        <v>3826</v>
      </c>
      <c r="G34" s="15">
        <f t="shared" si="7"/>
        <v>9881</v>
      </c>
      <c r="H34" s="15">
        <f t="shared" si="7"/>
        <v>6596.8</v>
      </c>
      <c r="I34" s="15">
        <f t="shared" si="7"/>
        <v>7945</v>
      </c>
      <c r="J34" s="15">
        <f t="shared" si="7"/>
        <v>12450.6</v>
      </c>
      <c r="K34" s="15">
        <f t="shared" si="7"/>
        <v>10009</v>
      </c>
      <c r="L34" s="15">
        <f t="shared" si="7"/>
        <v>12587</v>
      </c>
      <c r="M34" s="15">
        <f t="shared" si="7"/>
        <v>13700</v>
      </c>
      <c r="N34" s="15">
        <f t="shared" si="7"/>
        <v>14169</v>
      </c>
      <c r="O34" s="15">
        <f t="shared" si="7"/>
        <v>23943</v>
      </c>
      <c r="P34" s="15">
        <f t="shared" si="7"/>
        <v>25132</v>
      </c>
      <c r="Q34" s="15">
        <f t="shared" si="7"/>
        <v>23769</v>
      </c>
      <c r="R34" s="15">
        <f t="shared" si="7"/>
        <v>25172.1</v>
      </c>
      <c r="S34" s="16">
        <v>25484.0</v>
      </c>
      <c r="T34" s="16">
        <v>27480.0</v>
      </c>
      <c r="U34" s="16">
        <v>28600.0</v>
      </c>
      <c r="V34" s="16">
        <v>29800.0</v>
      </c>
      <c r="W34" s="16">
        <v>22050.0</v>
      </c>
      <c r="X34" s="16">
        <v>21890.0</v>
      </c>
      <c r="Y34" s="16">
        <v>17500.0</v>
      </c>
      <c r="Z34" s="1"/>
    </row>
    <row r="35" ht="15.75" customHeight="1">
      <c r="A35" s="43" t="s">
        <v>29</v>
      </c>
      <c r="B35" s="44" t="s">
        <v>6</v>
      </c>
      <c r="C35" s="19">
        <f t="shared" ref="C35:R35" si="8">SUM(C6,C11,C12,C15,C18,C19,C20,C21,C23,C26,C29,C30,C31,C32)</f>
        <v>1480586</v>
      </c>
      <c r="D35" s="19">
        <f t="shared" si="8"/>
        <v>1452577.4</v>
      </c>
      <c r="E35" s="19">
        <f t="shared" si="8"/>
        <v>1433529</v>
      </c>
      <c r="F35" s="19">
        <f t="shared" si="8"/>
        <v>1515273.4</v>
      </c>
      <c r="G35" s="19">
        <f t="shared" si="8"/>
        <v>1449802</v>
      </c>
      <c r="H35" s="19">
        <f t="shared" si="8"/>
        <v>1497059</v>
      </c>
      <c r="I35" s="19">
        <f t="shared" si="8"/>
        <v>1481541</v>
      </c>
      <c r="J35" s="19">
        <f t="shared" si="8"/>
        <v>1525954.6</v>
      </c>
      <c r="K35" s="19">
        <f t="shared" si="8"/>
        <v>1479810.3</v>
      </c>
      <c r="L35" s="19">
        <f t="shared" si="8"/>
        <v>1519389.8</v>
      </c>
      <c r="M35" s="19">
        <f t="shared" si="8"/>
        <v>1565713</v>
      </c>
      <c r="N35" s="19">
        <f t="shared" si="8"/>
        <v>1572761</v>
      </c>
      <c r="O35" s="19">
        <f t="shared" si="8"/>
        <v>1552943.5</v>
      </c>
      <c r="P35" s="19">
        <f t="shared" si="8"/>
        <v>1561271</v>
      </c>
      <c r="Q35" s="19">
        <f t="shared" si="8"/>
        <v>1562596</v>
      </c>
      <c r="R35" s="19">
        <f t="shared" si="8"/>
        <v>1654652.9</v>
      </c>
      <c r="S35" s="20"/>
      <c r="T35" s="20"/>
      <c r="U35" s="20"/>
      <c r="V35" s="20"/>
      <c r="W35" s="20"/>
      <c r="X35" s="20"/>
      <c r="Y35" s="20"/>
      <c r="Z35" s="1"/>
    </row>
    <row r="36" ht="15.75" customHeight="1">
      <c r="A36" s="45" t="s">
        <v>29</v>
      </c>
      <c r="B36" s="46" t="s">
        <v>7</v>
      </c>
      <c r="C36" s="47">
        <f t="shared" ref="C36:R36" si="9">SUM(C7,C9,C10,C13,C16,C22,C24,C27,C33)</f>
        <v>392611.9</v>
      </c>
      <c r="D36" s="47">
        <f t="shared" si="9"/>
        <v>388951</v>
      </c>
      <c r="E36" s="47">
        <f t="shared" si="9"/>
        <v>375291</v>
      </c>
      <c r="F36" s="47">
        <f t="shared" si="9"/>
        <v>369043</v>
      </c>
      <c r="G36" s="47">
        <f t="shared" si="9"/>
        <v>363107</v>
      </c>
      <c r="H36" s="47">
        <f t="shared" si="9"/>
        <v>367263.8</v>
      </c>
      <c r="I36" s="47">
        <f t="shared" si="9"/>
        <v>381584.8</v>
      </c>
      <c r="J36" s="47">
        <f t="shared" si="9"/>
        <v>424723</v>
      </c>
      <c r="K36" s="47">
        <f t="shared" si="9"/>
        <v>442264</v>
      </c>
      <c r="L36" s="47">
        <f t="shared" si="9"/>
        <v>441279</v>
      </c>
      <c r="M36" s="47">
        <f t="shared" si="9"/>
        <v>450711.9</v>
      </c>
      <c r="N36" s="47">
        <f t="shared" si="9"/>
        <v>476913</v>
      </c>
      <c r="O36" s="47">
        <f t="shared" si="9"/>
        <v>503463</v>
      </c>
      <c r="P36" s="47">
        <f t="shared" si="9"/>
        <v>518159</v>
      </c>
      <c r="Q36" s="47">
        <f t="shared" si="9"/>
        <v>530313</v>
      </c>
      <c r="R36" s="47">
        <f t="shared" si="9"/>
        <v>515511.5</v>
      </c>
      <c r="S36" s="48"/>
      <c r="T36" s="48"/>
      <c r="U36" s="48"/>
      <c r="V36" s="48"/>
      <c r="W36" s="48"/>
      <c r="X36" s="48"/>
      <c r="Y36" s="48"/>
      <c r="Z36" s="1"/>
    </row>
    <row r="37" ht="15.75" customHeight="1">
      <c r="A37" s="13" t="s">
        <v>29</v>
      </c>
      <c r="B37" s="49" t="s">
        <v>30</v>
      </c>
      <c r="C37" s="15">
        <f t="shared" ref="C37:R37" si="10">SUM(C35:C36)</f>
        <v>1873197.9</v>
      </c>
      <c r="D37" s="15">
        <f t="shared" si="10"/>
        <v>1841528.4</v>
      </c>
      <c r="E37" s="15">
        <f t="shared" si="10"/>
        <v>1808820</v>
      </c>
      <c r="F37" s="15">
        <f t="shared" si="10"/>
        <v>1884316.4</v>
      </c>
      <c r="G37" s="15">
        <f t="shared" si="10"/>
        <v>1812909</v>
      </c>
      <c r="H37" s="15">
        <f t="shared" si="10"/>
        <v>1864322.8</v>
      </c>
      <c r="I37" s="15">
        <f t="shared" si="10"/>
        <v>1863125.8</v>
      </c>
      <c r="J37" s="15">
        <f t="shared" si="10"/>
        <v>1950677.6</v>
      </c>
      <c r="K37" s="15">
        <f t="shared" si="10"/>
        <v>1922074.3</v>
      </c>
      <c r="L37" s="15">
        <f t="shared" si="10"/>
        <v>1960668.8</v>
      </c>
      <c r="M37" s="15">
        <f t="shared" si="10"/>
        <v>2016424.9</v>
      </c>
      <c r="N37" s="15">
        <f t="shared" si="10"/>
        <v>2049674</v>
      </c>
      <c r="O37" s="15">
        <f t="shared" si="10"/>
        <v>2056406.5</v>
      </c>
      <c r="P37" s="15">
        <f t="shared" si="10"/>
        <v>2079430</v>
      </c>
      <c r="Q37" s="15">
        <f t="shared" si="10"/>
        <v>2092909</v>
      </c>
      <c r="R37" s="15">
        <f t="shared" si="10"/>
        <v>2170164.4</v>
      </c>
      <c r="S37" s="16">
        <f t="shared" ref="S37:Y37" si="11">SUM(S9,S10,S14,S17,S25,S28,S29,S30,S31,S34)</f>
        <v>2176654</v>
      </c>
      <c r="T37" s="16">
        <f t="shared" si="11"/>
        <v>2152397</v>
      </c>
      <c r="U37" s="16">
        <f t="shared" si="11"/>
        <v>2217666</v>
      </c>
      <c r="V37" s="16">
        <f t="shared" si="11"/>
        <v>2212870</v>
      </c>
      <c r="W37" s="16">
        <f t="shared" si="11"/>
        <v>2201550</v>
      </c>
      <c r="X37" s="16">
        <f t="shared" si="11"/>
        <v>2310770</v>
      </c>
      <c r="Y37" s="16">
        <f t="shared" si="11"/>
        <v>2179200</v>
      </c>
      <c r="Z37" s="50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1" t="s">
        <v>31</v>
      </c>
      <c r="B39" s="52"/>
      <c r="C39" s="52"/>
      <c r="D39" s="52"/>
      <c r="E39" s="52"/>
      <c r="F39" s="52"/>
      <c r="G39" s="52"/>
      <c r="H39" s="52"/>
      <c r="I39" s="52"/>
      <c r="J39" s="53"/>
      <c r="K39" s="54"/>
      <c r="L39" s="55"/>
      <c r="M39" s="56"/>
      <c r="N39" s="54"/>
      <c r="O39" s="54"/>
      <c r="P39" s="55"/>
      <c r="Q39" s="54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1"/>
      <c r="B40" s="53"/>
      <c r="C40" s="53"/>
      <c r="D40" s="53"/>
      <c r="E40" s="53"/>
      <c r="F40" s="53"/>
      <c r="G40" s="53"/>
      <c r="H40" s="53"/>
      <c r="I40" s="53"/>
      <c r="J40" s="53"/>
      <c r="K40" s="54"/>
      <c r="L40" s="55"/>
      <c r="M40" s="56"/>
      <c r="N40" s="54"/>
      <c r="O40" s="54"/>
      <c r="P40" s="55"/>
      <c r="Q40" s="54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2017-08-01T17:10:24Z</dcterms:created>
  <dc:creator>Aluizio Santos</dc:creator>
</cp:coreProperties>
</file>