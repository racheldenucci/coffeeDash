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\Desktop\dados tcc v2\"/>
    </mc:Choice>
  </mc:AlternateContent>
  <xr:revisionPtr revIDLastSave="0" documentId="8_{CB31CFE4-F4AE-4CD6-B486-9498D89E6C73}" xr6:coauthVersionLast="47" xr6:coauthVersionMax="47" xr10:uidLastSave="{00000000-0000-0000-0000-000000000000}"/>
  <bookViews>
    <workbookView xWindow="-19320" yWindow="675" windowWidth="19440" windowHeight="14880" xr2:uid="{48DE2C8B-C0B3-4BF7-90FB-3F45A272BB48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7" i="1" l="1"/>
  <c r="N37" i="1"/>
  <c r="M37" i="1"/>
  <c r="L37" i="1"/>
  <c r="K37" i="1"/>
  <c r="N34" i="1"/>
  <c r="M34" i="1"/>
  <c r="L34" i="1"/>
  <c r="K34" i="1"/>
  <c r="D34" i="1"/>
  <c r="N28" i="1"/>
  <c r="M28" i="1"/>
  <c r="L28" i="1"/>
  <c r="K28" i="1"/>
  <c r="D28" i="1"/>
  <c r="T25" i="1"/>
  <c r="S25" i="1"/>
  <c r="R25" i="1"/>
  <c r="Q25" i="1"/>
  <c r="P25" i="1"/>
  <c r="O25" i="1"/>
  <c r="N25" i="1"/>
  <c r="M25" i="1"/>
  <c r="L25" i="1"/>
  <c r="K25" i="1"/>
  <c r="N17" i="1"/>
  <c r="M17" i="1"/>
  <c r="L17" i="1"/>
  <c r="K17" i="1"/>
  <c r="Q14" i="1"/>
  <c r="P14" i="1"/>
  <c r="O14" i="1"/>
  <c r="N14" i="1"/>
  <c r="M14" i="1"/>
  <c r="L14" i="1"/>
  <c r="K14" i="1"/>
  <c r="D25" i="1"/>
  <c r="D36" i="1"/>
  <c r="C36" i="1"/>
  <c r="C35" i="1"/>
  <c r="C37" i="1" s="1"/>
  <c r="C34" i="1"/>
  <c r="C28" i="1"/>
  <c r="C25" i="1"/>
  <c r="C17" i="1"/>
  <c r="C14" i="1"/>
  <c r="E35" i="1"/>
  <c r="E37" i="1"/>
  <c r="J36" i="1"/>
  <c r="J35" i="1"/>
  <c r="J37" i="1"/>
  <c r="J34" i="1"/>
  <c r="J28" i="1"/>
  <c r="J25" i="1"/>
  <c r="J17" i="1"/>
  <c r="J14" i="1"/>
  <c r="I36" i="1"/>
  <c r="I34" i="1"/>
  <c r="I9" i="1"/>
  <c r="I35" i="1"/>
  <c r="I37" i="1" s="1"/>
  <c r="I28" i="1"/>
  <c r="I25" i="1"/>
  <c r="H36" i="1"/>
  <c r="H37" i="1" s="1"/>
  <c r="H35" i="1"/>
  <c r="H34" i="1"/>
  <c r="H28" i="1"/>
  <c r="H25" i="1"/>
  <c r="G36" i="1"/>
  <c r="G35" i="1"/>
  <c r="G37" i="1" s="1"/>
  <c r="G34" i="1"/>
  <c r="G28" i="1"/>
  <c r="F28" i="1"/>
  <c r="G25" i="1"/>
  <c r="F36" i="1"/>
  <c r="F35" i="1"/>
  <c r="F37" i="1" s="1"/>
  <c r="F34" i="1"/>
  <c r="F25" i="1"/>
  <c r="I17" i="1"/>
  <c r="H17" i="1"/>
  <c r="G17" i="1"/>
  <c r="F17" i="1"/>
  <c r="I14" i="1"/>
  <c r="H14" i="1"/>
  <c r="G14" i="1"/>
  <c r="F9" i="1"/>
  <c r="F14" i="1"/>
  <c r="D35" i="1"/>
  <c r="D37" i="1" s="1"/>
  <c r="E36" i="1"/>
  <c r="E34" i="1"/>
  <c r="E9" i="1"/>
  <c r="E28" i="1"/>
  <c r="E25" i="1"/>
  <c r="D17" i="1"/>
  <c r="E17" i="1"/>
  <c r="D14" i="1"/>
  <c r="E14" i="1"/>
</calcChain>
</file>

<file path=xl/sharedStrings.xml><?xml version="1.0" encoding="utf-8"?>
<sst xmlns="http://schemas.openxmlformats.org/spreadsheetml/2006/main" count="70" uniqueCount="33">
  <si>
    <t>SAFRAS</t>
  </si>
  <si>
    <t>Estados e Regiões</t>
  </si>
  <si>
    <t>RO</t>
  </si>
  <si>
    <t>PA</t>
  </si>
  <si>
    <t>BA</t>
  </si>
  <si>
    <t>MT</t>
  </si>
  <si>
    <t>GO</t>
  </si>
  <si>
    <t>MG</t>
  </si>
  <si>
    <t xml:space="preserve">ES </t>
  </si>
  <si>
    <t>RJ</t>
  </si>
  <si>
    <t>SP</t>
  </si>
  <si>
    <t>PR</t>
  </si>
  <si>
    <t>OUTROS</t>
  </si>
  <si>
    <t>Arábica</t>
  </si>
  <si>
    <t>Robusta</t>
  </si>
  <si>
    <t>Cerrado - Arábica</t>
  </si>
  <si>
    <t>Planalto - Arábica</t>
  </si>
  <si>
    <t>Atlântico - Robusta</t>
  </si>
  <si>
    <t>Sub-total</t>
  </si>
  <si>
    <t>Total Geral</t>
  </si>
  <si>
    <t>Espécie</t>
  </si>
  <si>
    <t>BRASIL</t>
  </si>
  <si>
    <t>Produção Total em mil sacas</t>
  </si>
  <si>
    <t>CAFÉ - BENEFICIADO - ARÁBICA e ROBUSTA</t>
  </si>
  <si>
    <t>AM</t>
  </si>
  <si>
    <t>Arabica</t>
  </si>
  <si>
    <t>Sul e Centro-Oeste - Arábica</t>
  </si>
  <si>
    <t>Triângulo, Alto Paranaíba e Noroeste - Arábica</t>
  </si>
  <si>
    <t xml:space="preserve">Zona da Mata, Rio Doce e Central - Arábica </t>
  </si>
  <si>
    <t>Norte, Jequitinhonha e Mucuri - Arábica</t>
  </si>
  <si>
    <t xml:space="preserve">Zona da Mata, Rio Doce e Central - Robusta </t>
  </si>
  <si>
    <t>Norte, Jequitinhonha e Mucuri - Robusta</t>
  </si>
  <si>
    <t>Fonte: Elaborado por Minist. da Agricultura e Pecuária, Dados da CONAB (2023 &gt;&gt; Estimativa em maio de 2023), Divulgado no Site 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</si>
</sst>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#,##0.0"/>
    <numFmt numFmtId="166" formatCode="_(* #,##0_);_(* \(#,##0\);_(* \-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164" fontId="3" fillId="0" borderId="0" xfId="0" applyNumberFormat="1" applyFont="1" applyFill="1" applyBorder="1"/>
    <xf numFmtId="0" fontId="3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3" fontId="1" fillId="0" borderId="0" xfId="0" applyNumberFormat="1" applyFont="1" applyFill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0" borderId="0" xfId="0" applyFont="1" applyFill="1"/>
    <xf numFmtId="3" fontId="0" fillId="0" borderId="4" xfId="0" applyNumberFormat="1" applyFill="1" applyBorder="1"/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3" fontId="0" fillId="0" borderId="6" xfId="0" applyNumberFormat="1" applyFill="1" applyBorder="1"/>
    <xf numFmtId="3" fontId="0" fillId="0" borderId="7" xfId="0" applyNumberFormat="1" applyFill="1" applyBorder="1"/>
    <xf numFmtId="3" fontId="0" fillId="0" borderId="8" xfId="0" applyNumberFormat="1" applyFill="1" applyBorder="1"/>
    <xf numFmtId="3" fontId="0" fillId="0" borderId="9" xfId="0" applyNumberFormat="1" applyFill="1" applyBorder="1"/>
    <xf numFmtId="3" fontId="0" fillId="0" borderId="10" xfId="0" applyNumberFormat="1" applyFill="1" applyBorder="1"/>
    <xf numFmtId="3" fontId="0" fillId="0" borderId="11" xfId="0" applyNumberFormat="1" applyFill="1" applyBorder="1"/>
    <xf numFmtId="3" fontId="0" fillId="0" borderId="12" xfId="0" applyNumberFormat="1" applyFill="1" applyBorder="1"/>
    <xf numFmtId="3" fontId="0" fillId="0" borderId="13" xfId="0" applyNumberFormat="1" applyFill="1" applyBorder="1"/>
    <xf numFmtId="3" fontId="0" fillId="0" borderId="14" xfId="0" applyNumberFormat="1" applyFill="1" applyBorder="1"/>
    <xf numFmtId="3" fontId="0" fillId="0" borderId="15" xfId="0" applyNumberFormat="1" applyFill="1" applyBorder="1"/>
    <xf numFmtId="3" fontId="0" fillId="0" borderId="16" xfId="0" applyNumberFormat="1" applyFill="1" applyBorder="1"/>
    <xf numFmtId="3" fontId="0" fillId="0" borderId="17" xfId="0" applyNumberFormat="1" applyFill="1" applyBorder="1"/>
    <xf numFmtId="3" fontId="0" fillId="0" borderId="18" xfId="0" applyNumberFormat="1" applyFill="1" applyBorder="1"/>
    <xf numFmtId="3" fontId="0" fillId="0" borderId="19" xfId="0" applyNumberFormat="1" applyFill="1" applyBorder="1"/>
    <xf numFmtId="3" fontId="0" fillId="0" borderId="20" xfId="0" applyNumberFormat="1" applyFill="1" applyBorder="1"/>
    <xf numFmtId="3" fontId="0" fillId="0" borderId="21" xfId="0" applyNumberFormat="1" applyFill="1" applyBorder="1"/>
    <xf numFmtId="3" fontId="8" fillId="0" borderId="22" xfId="0" applyNumberFormat="1" applyFont="1" applyFill="1" applyBorder="1"/>
    <xf numFmtId="0" fontId="6" fillId="2" borderId="3" xfId="0" applyFont="1" applyFill="1" applyBorder="1" applyAlignment="1">
      <alignment vertical="center"/>
    </xf>
    <xf numFmtId="0" fontId="4" fillId="2" borderId="22" xfId="1" applyFont="1" applyFill="1" applyBorder="1" applyAlignment="1">
      <alignment horizontal="left" vertical="center" wrapText="1"/>
    </xf>
    <xf numFmtId="3" fontId="0" fillId="0" borderId="23" xfId="0" applyNumberFormat="1" applyFill="1" applyBorder="1"/>
    <xf numFmtId="3" fontId="0" fillId="0" borderId="24" xfId="0" applyNumberFormat="1" applyFill="1" applyBorder="1"/>
    <xf numFmtId="3" fontId="0" fillId="0" borderId="25" xfId="0" applyNumberFormat="1" applyFill="1" applyBorder="1"/>
    <xf numFmtId="0" fontId="1" fillId="2" borderId="26" xfId="0" applyFont="1" applyFill="1" applyBorder="1" applyAlignment="1">
      <alignment vertical="center"/>
    </xf>
    <xf numFmtId="165" fontId="5" fillId="2" borderId="13" xfId="2" applyNumberFormat="1" applyFont="1" applyFill="1" applyBorder="1" applyAlignment="1" applyProtection="1">
      <alignment horizontal="left" vertical="center"/>
    </xf>
    <xf numFmtId="165" fontId="5" fillId="2" borderId="10" xfId="2" applyNumberFormat="1" applyFont="1" applyFill="1" applyBorder="1" applyAlignment="1" applyProtection="1">
      <alignment horizontal="left" vertical="center" wrapText="1"/>
    </xf>
    <xf numFmtId="0" fontId="1" fillId="2" borderId="23" xfId="0" applyFont="1" applyFill="1" applyBorder="1" applyAlignment="1">
      <alignment vertical="center"/>
    </xf>
    <xf numFmtId="0" fontId="1" fillId="0" borderId="27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166" fontId="1" fillId="0" borderId="12" xfId="2" applyNumberFormat="1" applyFont="1" applyFill="1" applyBorder="1" applyAlignment="1" applyProtection="1">
      <alignment horizontal="center" vertical="center"/>
    </xf>
    <xf numFmtId="3" fontId="0" fillId="0" borderId="27" xfId="0" applyNumberFormat="1" applyFill="1" applyBorder="1"/>
    <xf numFmtId="3" fontId="0" fillId="0" borderId="28" xfId="0" applyNumberFormat="1" applyFill="1" applyBorder="1"/>
    <xf numFmtId="0" fontId="0" fillId="0" borderId="0" xfId="0" applyFill="1" applyBorder="1"/>
    <xf numFmtId="0" fontId="1" fillId="0" borderId="20" xfId="0" applyFont="1" applyFill="1" applyBorder="1" applyAlignment="1">
      <alignment horizontal="center"/>
    </xf>
    <xf numFmtId="165" fontId="5" fillId="2" borderId="23" xfId="2" applyNumberFormat="1" applyFont="1" applyFill="1" applyBorder="1" applyAlignment="1" applyProtection="1">
      <alignment horizontal="left" vertical="center" wrapText="1"/>
    </xf>
    <xf numFmtId="165" fontId="5" fillId="2" borderId="13" xfId="2" applyNumberFormat="1" applyFont="1" applyFill="1" applyBorder="1" applyAlignment="1" applyProtection="1">
      <alignment horizontal="left" vertical="center" wrapText="1"/>
    </xf>
    <xf numFmtId="0" fontId="6" fillId="0" borderId="29" xfId="0" applyFont="1" applyFill="1" applyBorder="1" applyAlignment="1">
      <alignment horizontal="center" vertical="center"/>
    </xf>
    <xf numFmtId="3" fontId="0" fillId="0" borderId="30" xfId="0" applyNumberFormat="1" applyFill="1" applyBorder="1"/>
    <xf numFmtId="3" fontId="0" fillId="0" borderId="1" xfId="0" applyNumberFormat="1" applyFill="1" applyBorder="1"/>
    <xf numFmtId="3" fontId="0" fillId="0" borderId="31" xfId="0" applyNumberFormat="1" applyFill="1" applyBorder="1"/>
    <xf numFmtId="3" fontId="0" fillId="0" borderId="32" xfId="0" applyNumberFormat="1" applyFill="1" applyBorder="1"/>
    <xf numFmtId="3" fontId="0" fillId="0" borderId="33" xfId="0" applyNumberFormat="1" applyFill="1" applyBorder="1"/>
    <xf numFmtId="3" fontId="0" fillId="0" borderId="34" xfId="0" applyNumberFormat="1" applyFill="1" applyBorder="1"/>
    <xf numFmtId="3" fontId="0" fillId="0" borderId="35" xfId="0" applyNumberFormat="1" applyFill="1" applyBorder="1"/>
    <xf numFmtId="3" fontId="0" fillId="0" borderId="36" xfId="0" applyNumberFormat="1" applyFill="1" applyBorder="1"/>
    <xf numFmtId="3" fontId="0" fillId="0" borderId="37" xfId="0" applyNumberFormat="1" applyFill="1" applyBorder="1"/>
    <xf numFmtId="0" fontId="6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/>
    <xf numFmtId="0" fontId="2" fillId="0" borderId="1" xfId="0" applyFont="1" applyBorder="1"/>
    <xf numFmtId="165" fontId="6" fillId="2" borderId="23" xfId="2" applyNumberFormat="1" applyFont="1" applyFill="1" applyBorder="1" applyAlignment="1" applyProtection="1">
      <alignment horizontal="left" vertical="center"/>
    </xf>
    <xf numFmtId="3" fontId="0" fillId="0" borderId="3" xfId="0" applyNumberFormat="1" applyFill="1" applyBorder="1"/>
    <xf numFmtId="3" fontId="0" fillId="0" borderId="22" xfId="0" applyNumberFormat="1" applyFill="1" applyBorder="1"/>
    <xf numFmtId="3" fontId="0" fillId="0" borderId="26" xfId="0" applyNumberFormat="1" applyFill="1" applyBorder="1"/>
    <xf numFmtId="3" fontId="0" fillId="0" borderId="2" xfId="0" applyNumberFormat="1" applyFill="1" applyBorder="1"/>
  </cellXfs>
  <cellStyles count="3">
    <cellStyle name="Comma" xfId="2" builtinId="3"/>
    <cellStyle name="Normal" xfId="0" builtinId="0"/>
    <cellStyle name="Normal 2_Produção CONAB - 1999 a 2014" xfId="1" xr:uid="{2FE5D174-15D9-4626-BA72-53308B5BAC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184E-E10A-4BF9-8B12-3855BC05A675}">
  <dimension ref="A1:AA42"/>
  <sheetViews>
    <sheetView showGridLines="0" tabSelected="1" zoomScale="85" zoomScaleNormal="85" workbookViewId="0">
      <selection activeCell="AC36" sqref="AC36"/>
    </sheetView>
  </sheetViews>
  <sheetFormatPr defaultColWidth="9.109375" defaultRowHeight="14.4" x14ac:dyDescent="0.3"/>
  <cols>
    <col min="1" max="1" width="13" style="1" customWidth="1"/>
    <col min="2" max="2" width="19.5546875" style="1" customWidth="1"/>
    <col min="3" max="4" width="10.109375" style="1" bestFit="1" customWidth="1"/>
    <col min="5" max="5" width="10.109375" style="1" customWidth="1"/>
    <col min="6" max="10" width="10.109375" style="1" bestFit="1" customWidth="1"/>
    <col min="11" max="11" width="9.33203125" style="1" bestFit="1" customWidth="1"/>
    <col min="12" max="12" width="9.109375" style="1"/>
    <col min="13" max="13" width="10.109375" style="1" bestFit="1" customWidth="1"/>
    <col min="14" max="15" width="9.109375" style="1"/>
    <col min="16" max="16" width="10.6640625" style="1" customWidth="1"/>
    <col min="17" max="18" width="9.109375" style="1"/>
    <col min="19" max="19" width="11" style="1" customWidth="1"/>
    <col min="20" max="21" width="9.109375" style="1"/>
    <col min="22" max="22" width="10.5546875" style="1" customWidth="1"/>
    <col min="23" max="24" width="9.109375" style="1"/>
    <col min="25" max="25" width="8.88671875" style="1" customWidth="1"/>
    <col min="26" max="16384" width="9.109375" style="1"/>
  </cols>
  <sheetData>
    <row r="1" spans="1:27" x14ac:dyDescent="0.3">
      <c r="A1" s="1" t="s">
        <v>0</v>
      </c>
    </row>
    <row r="2" spans="1:27" x14ac:dyDescent="0.3">
      <c r="A2" s="1" t="s">
        <v>23</v>
      </c>
    </row>
    <row r="3" spans="1:27" x14ac:dyDescent="0.3">
      <c r="A3" s="1" t="s">
        <v>22</v>
      </c>
    </row>
    <row r="4" spans="1:27" ht="15" thickBo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27" thickBot="1" x14ac:dyDescent="0.35">
      <c r="A5" s="12" t="s">
        <v>1</v>
      </c>
      <c r="B5" s="13" t="s">
        <v>20</v>
      </c>
      <c r="C5" s="13">
        <v>2023</v>
      </c>
      <c r="D5" s="13">
        <v>2022</v>
      </c>
      <c r="E5" s="13">
        <v>2021</v>
      </c>
      <c r="F5" s="13">
        <v>2020</v>
      </c>
      <c r="G5" s="13">
        <v>2019</v>
      </c>
      <c r="H5" s="13">
        <v>2018</v>
      </c>
      <c r="I5" s="13">
        <v>2017</v>
      </c>
      <c r="J5" s="13">
        <v>2016</v>
      </c>
      <c r="K5" s="13">
        <v>2015</v>
      </c>
      <c r="L5" s="13">
        <v>2014</v>
      </c>
      <c r="M5" s="13">
        <v>2013</v>
      </c>
      <c r="N5" s="13">
        <v>2012</v>
      </c>
      <c r="O5" s="13">
        <v>2011</v>
      </c>
      <c r="P5" s="13">
        <v>2010</v>
      </c>
      <c r="Q5" s="13">
        <v>2009</v>
      </c>
      <c r="R5" s="13">
        <v>2008</v>
      </c>
      <c r="S5" s="13">
        <v>2007</v>
      </c>
      <c r="T5" s="13">
        <v>2006</v>
      </c>
      <c r="U5" s="13">
        <v>2005</v>
      </c>
      <c r="V5" s="13">
        <v>2004</v>
      </c>
      <c r="W5" s="13">
        <v>2003</v>
      </c>
      <c r="X5" s="57">
        <v>2002</v>
      </c>
      <c r="Y5" s="13">
        <v>2001</v>
      </c>
      <c r="Z5" s="67"/>
      <c r="AA5" s="67"/>
    </row>
    <row r="6" spans="1:27" x14ac:dyDescent="0.3">
      <c r="A6" s="40" t="s">
        <v>2</v>
      </c>
      <c r="B6" s="11" t="s">
        <v>14</v>
      </c>
      <c r="C6" s="22">
        <v>3131.9</v>
      </c>
      <c r="D6" s="22">
        <v>2800.5</v>
      </c>
      <c r="E6" s="22">
        <v>2263.1</v>
      </c>
      <c r="F6" s="22">
        <v>2444.9</v>
      </c>
      <c r="G6" s="22">
        <v>2198.6999999999998</v>
      </c>
      <c r="H6" s="22">
        <v>1978.3</v>
      </c>
      <c r="I6" s="22">
        <v>1938.2</v>
      </c>
      <c r="J6" s="22">
        <v>1626.9</v>
      </c>
      <c r="K6" s="23">
        <v>1723.9</v>
      </c>
      <c r="L6" s="23">
        <v>1477.3</v>
      </c>
      <c r="M6" s="23">
        <v>1357</v>
      </c>
      <c r="N6" s="23">
        <v>1367</v>
      </c>
      <c r="O6" s="23">
        <v>1428</v>
      </c>
      <c r="P6" s="23">
        <v>2369</v>
      </c>
      <c r="Q6" s="23">
        <v>1547</v>
      </c>
      <c r="R6" s="23">
        <v>1876</v>
      </c>
      <c r="S6" s="23">
        <v>1482</v>
      </c>
      <c r="T6" s="23">
        <v>1263</v>
      </c>
      <c r="U6" s="23">
        <v>1772</v>
      </c>
      <c r="V6" s="23">
        <v>1760</v>
      </c>
      <c r="W6" s="23">
        <v>2500</v>
      </c>
      <c r="X6" s="58">
        <v>2100</v>
      </c>
      <c r="Y6" s="71">
        <v>1910</v>
      </c>
      <c r="Z6" s="68"/>
      <c r="AA6" s="68"/>
    </row>
    <row r="7" spans="1:27" s="53" customFormat="1" x14ac:dyDescent="0.3">
      <c r="A7" s="43" t="s">
        <v>24</v>
      </c>
      <c r="B7" s="18" t="s">
        <v>25</v>
      </c>
      <c r="C7" s="16"/>
      <c r="D7" s="16"/>
      <c r="E7" s="16">
        <v>30.6</v>
      </c>
      <c r="F7" s="16">
        <v>30.6</v>
      </c>
      <c r="G7" s="16"/>
      <c r="H7" s="16"/>
      <c r="I7" s="16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59"/>
      <c r="Y7" s="18"/>
      <c r="Z7" s="68"/>
      <c r="AA7" s="68"/>
    </row>
    <row r="8" spans="1:27" s="53" customFormat="1" ht="15" thickBot="1" x14ac:dyDescent="0.35">
      <c r="A8" s="43" t="s">
        <v>24</v>
      </c>
      <c r="B8" s="18" t="s">
        <v>14</v>
      </c>
      <c r="C8" s="16"/>
      <c r="D8" s="16"/>
      <c r="E8" s="16">
        <v>44.6</v>
      </c>
      <c r="F8" s="16">
        <v>44.7</v>
      </c>
      <c r="G8" s="16"/>
      <c r="H8" s="16"/>
      <c r="I8" s="16">
        <v>7.5</v>
      </c>
      <c r="J8" s="16">
        <v>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59"/>
      <c r="Y8" s="18"/>
      <c r="Z8" s="68"/>
      <c r="AA8" s="68"/>
    </row>
    <row r="9" spans="1:27" s="53" customFormat="1" ht="15" thickBot="1" x14ac:dyDescent="0.35">
      <c r="A9" s="54" t="s">
        <v>24</v>
      </c>
      <c r="B9" s="32" t="s">
        <v>18</v>
      </c>
      <c r="C9" s="28"/>
      <c r="D9" s="28"/>
      <c r="E9" s="28">
        <f>SUM(E7:E8)</f>
        <v>75.2</v>
      </c>
      <c r="F9" s="28">
        <f>SUM(F7:F8)</f>
        <v>75.300000000000011</v>
      </c>
      <c r="G9" s="28"/>
      <c r="H9" s="28"/>
      <c r="I9" s="28">
        <f>SUM(I7:I8)</f>
        <v>7.5</v>
      </c>
      <c r="J9" s="28">
        <v>6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60"/>
      <c r="Y9" s="72"/>
      <c r="Z9" s="68"/>
      <c r="AA9" s="68"/>
    </row>
    <row r="10" spans="1:27" x14ac:dyDescent="0.3">
      <c r="A10" s="40" t="s">
        <v>3</v>
      </c>
      <c r="B10" s="11" t="s">
        <v>14</v>
      </c>
      <c r="C10" s="51"/>
      <c r="D10" s="51"/>
      <c r="E10" s="51"/>
      <c r="F10" s="51"/>
      <c r="G10" s="51"/>
      <c r="H10" s="51"/>
      <c r="I10" s="51">
        <v>6.4</v>
      </c>
      <c r="J10" s="51">
        <v>9.1</v>
      </c>
      <c r="K10" s="52">
        <v>16.600000000000001</v>
      </c>
      <c r="L10" s="52">
        <v>68.7</v>
      </c>
      <c r="M10" s="52">
        <v>121.7</v>
      </c>
      <c r="N10" s="52">
        <v>167</v>
      </c>
      <c r="O10" s="52">
        <v>184</v>
      </c>
      <c r="P10" s="52">
        <v>229</v>
      </c>
      <c r="Q10" s="52">
        <v>228</v>
      </c>
      <c r="R10" s="52">
        <v>233</v>
      </c>
      <c r="S10" s="52">
        <v>266</v>
      </c>
      <c r="T10" s="52">
        <v>280</v>
      </c>
      <c r="U10" s="52">
        <v>330</v>
      </c>
      <c r="V10" s="52">
        <v>220</v>
      </c>
      <c r="W10" s="52">
        <v>220</v>
      </c>
      <c r="X10" s="61">
        <v>310</v>
      </c>
      <c r="Y10" s="11">
        <v>250</v>
      </c>
      <c r="Z10" s="68"/>
      <c r="AA10" s="68"/>
    </row>
    <row r="11" spans="1:27" x14ac:dyDescent="0.3">
      <c r="A11" s="42" t="s">
        <v>4</v>
      </c>
      <c r="B11" s="33" t="s">
        <v>15</v>
      </c>
      <c r="C11" s="34">
        <v>225</v>
      </c>
      <c r="D11" s="34">
        <v>279.5</v>
      </c>
      <c r="E11" s="34">
        <v>250</v>
      </c>
      <c r="F11" s="34">
        <v>350</v>
      </c>
      <c r="G11" s="34">
        <v>300</v>
      </c>
      <c r="H11" s="34">
        <v>497.2</v>
      </c>
      <c r="I11" s="34">
        <v>288</v>
      </c>
      <c r="J11" s="34">
        <v>345.6</v>
      </c>
      <c r="K11" s="35">
        <v>337.8</v>
      </c>
      <c r="L11" s="35">
        <v>435.1</v>
      </c>
      <c r="M11" s="35">
        <v>399</v>
      </c>
      <c r="N11" s="35">
        <v>527.70000000000005</v>
      </c>
      <c r="O11" s="35">
        <v>429</v>
      </c>
      <c r="P11" s="35">
        <v>486</v>
      </c>
      <c r="Q11" s="35">
        <v>436</v>
      </c>
      <c r="R11" s="35"/>
      <c r="S11" s="35"/>
      <c r="T11" s="35"/>
      <c r="U11" s="35"/>
      <c r="V11" s="35"/>
      <c r="W11" s="35"/>
      <c r="X11" s="62"/>
      <c r="Y11" s="33"/>
      <c r="Z11" s="68"/>
      <c r="AA11" s="68"/>
    </row>
    <row r="12" spans="1:27" x14ac:dyDescent="0.3">
      <c r="A12" s="43" t="s">
        <v>4</v>
      </c>
      <c r="B12" s="18" t="s">
        <v>16</v>
      </c>
      <c r="C12" s="16">
        <v>943</v>
      </c>
      <c r="D12" s="16">
        <v>991</v>
      </c>
      <c r="E12" s="16">
        <v>979</v>
      </c>
      <c r="F12" s="16">
        <v>1516.7</v>
      </c>
      <c r="G12" s="16">
        <v>900</v>
      </c>
      <c r="H12" s="16">
        <v>1383</v>
      </c>
      <c r="I12" s="16">
        <v>690</v>
      </c>
      <c r="J12" s="16">
        <v>921.6</v>
      </c>
      <c r="K12" s="17">
        <v>824.3</v>
      </c>
      <c r="L12" s="17">
        <v>896.2</v>
      </c>
      <c r="M12" s="17">
        <v>681.1</v>
      </c>
      <c r="N12" s="17">
        <v>808.8</v>
      </c>
      <c r="O12" s="17">
        <v>1120</v>
      </c>
      <c r="P12" s="17">
        <v>1242</v>
      </c>
      <c r="Q12" s="17">
        <v>896</v>
      </c>
      <c r="R12" s="17"/>
      <c r="S12" s="17"/>
      <c r="T12" s="17"/>
      <c r="U12" s="17"/>
      <c r="V12" s="17"/>
      <c r="W12" s="17"/>
      <c r="X12" s="59"/>
      <c r="Y12" s="18"/>
      <c r="Z12" s="68"/>
      <c r="AA12" s="68"/>
    </row>
    <row r="13" spans="1:27" ht="15" thickBot="1" x14ac:dyDescent="0.35">
      <c r="A13" s="44" t="s">
        <v>4</v>
      </c>
      <c r="B13" s="21" t="s">
        <v>17</v>
      </c>
      <c r="C13" s="19">
        <v>2475</v>
      </c>
      <c r="D13" s="19">
        <v>2333</v>
      </c>
      <c r="E13" s="19">
        <v>2240</v>
      </c>
      <c r="F13" s="19">
        <v>2120</v>
      </c>
      <c r="G13" s="19">
        <v>1800</v>
      </c>
      <c r="H13" s="19">
        <v>2670</v>
      </c>
      <c r="I13" s="19">
        <v>2380</v>
      </c>
      <c r="J13" s="19">
        <v>826.1</v>
      </c>
      <c r="K13" s="20">
        <v>1183.5999999999999</v>
      </c>
      <c r="L13" s="20">
        <v>1040</v>
      </c>
      <c r="M13" s="20">
        <v>723.4</v>
      </c>
      <c r="N13" s="20">
        <v>813.1</v>
      </c>
      <c r="O13" s="20">
        <v>741</v>
      </c>
      <c r="P13" s="20">
        <v>565</v>
      </c>
      <c r="Q13" s="20">
        <v>542</v>
      </c>
      <c r="R13" s="20"/>
      <c r="S13" s="20"/>
      <c r="T13" s="20"/>
      <c r="U13" s="20"/>
      <c r="V13" s="20"/>
      <c r="W13" s="20"/>
      <c r="X13" s="63"/>
      <c r="Y13" s="21"/>
      <c r="Z13" s="68"/>
      <c r="AA13" s="68"/>
    </row>
    <row r="14" spans="1:27" ht="15" thickBot="1" x14ac:dyDescent="0.35">
      <c r="A14" s="45" t="s">
        <v>4</v>
      </c>
      <c r="B14" s="32" t="s">
        <v>18</v>
      </c>
      <c r="C14" s="28">
        <f>SUM(C11:C13)</f>
        <v>3643</v>
      </c>
      <c r="D14" s="28">
        <f t="shared" ref="D14:I14" si="0">SUM(D11:D13)</f>
        <v>3603.5</v>
      </c>
      <c r="E14" s="28">
        <f t="shared" si="0"/>
        <v>3469</v>
      </c>
      <c r="F14" s="28">
        <f t="shared" si="0"/>
        <v>3986.7</v>
      </c>
      <c r="G14" s="28">
        <f t="shared" si="0"/>
        <v>3000</v>
      </c>
      <c r="H14" s="28">
        <f t="shared" si="0"/>
        <v>4550.2</v>
      </c>
      <c r="I14" s="28">
        <f t="shared" si="0"/>
        <v>3358</v>
      </c>
      <c r="J14" s="28">
        <f t="shared" ref="J14:Q14" si="1">SUM(J11:J13)</f>
        <v>2093.3000000000002</v>
      </c>
      <c r="K14" s="28">
        <f t="shared" si="1"/>
        <v>2345.6999999999998</v>
      </c>
      <c r="L14" s="28">
        <f t="shared" si="1"/>
        <v>2371.3000000000002</v>
      </c>
      <c r="M14" s="28">
        <f t="shared" si="1"/>
        <v>1803.5</v>
      </c>
      <c r="N14" s="28">
        <f t="shared" si="1"/>
        <v>2149.6</v>
      </c>
      <c r="O14" s="28">
        <f t="shared" si="1"/>
        <v>2290</v>
      </c>
      <c r="P14" s="28">
        <f t="shared" si="1"/>
        <v>2293</v>
      </c>
      <c r="Q14" s="28">
        <f t="shared" si="1"/>
        <v>1874</v>
      </c>
      <c r="R14" s="29">
        <v>2142</v>
      </c>
      <c r="S14" s="29">
        <v>2342</v>
      </c>
      <c r="T14" s="29">
        <v>2251</v>
      </c>
      <c r="U14" s="29">
        <v>1812</v>
      </c>
      <c r="V14" s="29">
        <v>2279</v>
      </c>
      <c r="W14" s="29">
        <v>1780</v>
      </c>
      <c r="X14" s="60">
        <v>2300</v>
      </c>
      <c r="Y14" s="72">
        <v>2192</v>
      </c>
      <c r="Z14" s="68"/>
      <c r="AA14" s="68"/>
    </row>
    <row r="15" spans="1:27" x14ac:dyDescent="0.3">
      <c r="A15" s="46" t="s">
        <v>5</v>
      </c>
      <c r="B15" s="36" t="s">
        <v>13</v>
      </c>
      <c r="C15" s="14"/>
      <c r="D15" s="14"/>
      <c r="E15" s="14"/>
      <c r="F15" s="14"/>
      <c r="G15" s="14"/>
      <c r="H15" s="14">
        <v>1</v>
      </c>
      <c r="I15" s="14">
        <v>1.1000000000000001</v>
      </c>
      <c r="J15" s="14">
        <v>1.3</v>
      </c>
      <c r="K15" s="15">
        <v>1.7</v>
      </c>
      <c r="L15" s="15">
        <v>2</v>
      </c>
      <c r="M15" s="15">
        <v>1.6</v>
      </c>
      <c r="N15" s="15">
        <v>2.5</v>
      </c>
      <c r="O15" s="15"/>
      <c r="P15" s="15"/>
      <c r="Q15" s="15"/>
      <c r="R15" s="15"/>
      <c r="S15" s="15"/>
      <c r="T15" s="15"/>
      <c r="U15" s="15"/>
      <c r="V15" s="15"/>
      <c r="W15" s="15"/>
      <c r="X15" s="64"/>
      <c r="Y15" s="73"/>
      <c r="Z15" s="68"/>
      <c r="AA15" s="68"/>
    </row>
    <row r="16" spans="1:27" ht="15" thickBot="1" x14ac:dyDescent="0.35">
      <c r="A16" s="44" t="s">
        <v>5</v>
      </c>
      <c r="B16" s="37" t="s">
        <v>14</v>
      </c>
      <c r="C16" s="19">
        <v>239.5</v>
      </c>
      <c r="D16" s="19">
        <v>227.9</v>
      </c>
      <c r="E16" s="19">
        <v>194.2</v>
      </c>
      <c r="F16" s="19">
        <v>157.1</v>
      </c>
      <c r="G16" s="19">
        <v>121.4</v>
      </c>
      <c r="H16" s="19">
        <v>103.3</v>
      </c>
      <c r="I16" s="19">
        <v>90.4</v>
      </c>
      <c r="J16" s="19">
        <v>124.1</v>
      </c>
      <c r="K16" s="20">
        <v>126.2</v>
      </c>
      <c r="L16" s="20">
        <v>163.80000000000001</v>
      </c>
      <c r="M16" s="20">
        <v>169.9</v>
      </c>
      <c r="N16" s="20">
        <v>121.6</v>
      </c>
      <c r="O16" s="20"/>
      <c r="P16" s="20"/>
      <c r="Q16" s="20"/>
      <c r="R16" s="20"/>
      <c r="S16" s="20"/>
      <c r="T16" s="20"/>
      <c r="U16" s="20"/>
      <c r="V16" s="20"/>
      <c r="W16" s="20"/>
      <c r="X16" s="63"/>
      <c r="Y16" s="21"/>
      <c r="Z16" s="68"/>
      <c r="AA16" s="68"/>
    </row>
    <row r="17" spans="1:27" ht="15" thickBot="1" x14ac:dyDescent="0.35">
      <c r="A17" s="45" t="s">
        <v>5</v>
      </c>
      <c r="B17" s="32" t="s">
        <v>18</v>
      </c>
      <c r="C17" s="28">
        <f>SUM(C15:C16)</f>
        <v>239.5</v>
      </c>
      <c r="D17" s="28">
        <f t="shared" ref="D17:I17" si="2">SUM(D15:D16)</f>
        <v>227.9</v>
      </c>
      <c r="E17" s="28">
        <f t="shared" si="2"/>
        <v>194.2</v>
      </c>
      <c r="F17" s="28">
        <f t="shared" si="2"/>
        <v>157.1</v>
      </c>
      <c r="G17" s="28">
        <f t="shared" si="2"/>
        <v>121.4</v>
      </c>
      <c r="H17" s="28">
        <f t="shared" si="2"/>
        <v>104.3</v>
      </c>
      <c r="I17" s="28">
        <f t="shared" si="2"/>
        <v>91.5</v>
      </c>
      <c r="J17" s="28">
        <f>SUM(J15:J16)</f>
        <v>125.39999999999999</v>
      </c>
      <c r="K17" s="28">
        <f>SUM(K15:K16)</f>
        <v>127.9</v>
      </c>
      <c r="L17" s="28">
        <f>SUM(L15:L16)</f>
        <v>165.8</v>
      </c>
      <c r="M17" s="28">
        <f>SUM(M15:M16)</f>
        <v>171.5</v>
      </c>
      <c r="N17" s="28">
        <f>SUM(N15:N16)</f>
        <v>124.1</v>
      </c>
      <c r="O17" s="29">
        <v>138</v>
      </c>
      <c r="P17" s="29">
        <v>203</v>
      </c>
      <c r="Q17" s="29">
        <v>141</v>
      </c>
      <c r="R17" s="29">
        <v>138</v>
      </c>
      <c r="S17" s="29">
        <v>152</v>
      </c>
      <c r="T17" s="29">
        <v>250</v>
      </c>
      <c r="U17" s="29">
        <v>310</v>
      </c>
      <c r="V17" s="29">
        <v>310</v>
      </c>
      <c r="W17" s="29">
        <v>430</v>
      </c>
      <c r="X17" s="60">
        <v>490</v>
      </c>
      <c r="Y17" s="72">
        <v>355</v>
      </c>
      <c r="Z17" s="68"/>
      <c r="AA17" s="68"/>
    </row>
    <row r="18" spans="1:27" x14ac:dyDescent="0.3">
      <c r="A18" s="47" t="s">
        <v>6</v>
      </c>
      <c r="B18" s="9" t="s">
        <v>13</v>
      </c>
      <c r="C18" s="22">
        <v>254.1</v>
      </c>
      <c r="D18" s="22">
        <v>277.7</v>
      </c>
      <c r="E18" s="22">
        <v>231.6</v>
      </c>
      <c r="F18" s="22">
        <v>247.8</v>
      </c>
      <c r="G18" s="22">
        <v>249.3</v>
      </c>
      <c r="H18" s="22">
        <v>195.4</v>
      </c>
      <c r="I18" s="22">
        <v>190.2</v>
      </c>
      <c r="J18" s="22">
        <v>226.8</v>
      </c>
      <c r="K18" s="23">
        <v>226.2</v>
      </c>
      <c r="L18" s="23">
        <v>236.6</v>
      </c>
      <c r="M18" s="23">
        <v>265.60000000000002</v>
      </c>
      <c r="N18" s="23">
        <v>247.4</v>
      </c>
      <c r="O18" s="23"/>
      <c r="P18" s="23"/>
      <c r="Q18" s="23"/>
      <c r="R18" s="23"/>
      <c r="S18" s="23"/>
      <c r="T18" s="23"/>
      <c r="U18" s="23"/>
      <c r="V18" s="23"/>
      <c r="W18" s="23"/>
      <c r="X18" s="58"/>
      <c r="Y18" s="71"/>
      <c r="Z18" s="68"/>
      <c r="AA18" s="68"/>
    </row>
    <row r="19" spans="1:27" ht="22.8" x14ac:dyDescent="0.3">
      <c r="A19" s="42" t="s">
        <v>7</v>
      </c>
      <c r="B19" s="55" t="s">
        <v>26</v>
      </c>
      <c r="C19" s="34">
        <v>13280.2</v>
      </c>
      <c r="D19" s="34">
        <v>9599.6</v>
      </c>
      <c r="E19" s="34">
        <v>11751.9</v>
      </c>
      <c r="F19" s="34">
        <v>19152.2</v>
      </c>
      <c r="G19" s="34">
        <v>13978.8</v>
      </c>
      <c r="H19" s="34">
        <v>17896.099999999999</v>
      </c>
      <c r="I19" s="34">
        <v>13684.2</v>
      </c>
      <c r="J19" s="34">
        <v>16627.7</v>
      </c>
      <c r="K19" s="35">
        <v>10808.3</v>
      </c>
      <c r="L19" s="35">
        <v>10803.7</v>
      </c>
      <c r="M19" s="35">
        <v>13355</v>
      </c>
      <c r="N19" s="35">
        <v>13792</v>
      </c>
      <c r="O19" s="35">
        <v>10442</v>
      </c>
      <c r="P19" s="35">
        <v>12616</v>
      </c>
      <c r="Q19" s="35">
        <v>9750</v>
      </c>
      <c r="R19" s="35">
        <v>12118</v>
      </c>
      <c r="S19" s="35">
        <v>7266</v>
      </c>
      <c r="T19" s="35">
        <v>12043</v>
      </c>
      <c r="U19" s="35"/>
      <c r="V19" s="35"/>
      <c r="W19" s="35"/>
      <c r="X19" s="62"/>
      <c r="Y19" s="33"/>
      <c r="Z19" s="68"/>
      <c r="AA19" s="68"/>
    </row>
    <row r="20" spans="1:27" ht="22.8" x14ac:dyDescent="0.3">
      <c r="A20" s="43" t="s">
        <v>7</v>
      </c>
      <c r="B20" s="38" t="s">
        <v>27</v>
      </c>
      <c r="C20" s="16">
        <v>6532.4</v>
      </c>
      <c r="D20" s="16">
        <v>4198.5</v>
      </c>
      <c r="E20" s="16">
        <v>4777.5</v>
      </c>
      <c r="F20" s="16">
        <v>6000.8</v>
      </c>
      <c r="G20" s="16">
        <v>4591.8999999999996</v>
      </c>
      <c r="H20" s="16">
        <v>7138</v>
      </c>
      <c r="I20" s="16">
        <v>3658.3</v>
      </c>
      <c r="J20" s="16">
        <v>7401.6</v>
      </c>
      <c r="K20" s="17">
        <v>4232.8999999999996</v>
      </c>
      <c r="L20" s="17">
        <v>5765.5</v>
      </c>
      <c r="M20" s="17">
        <v>5213</v>
      </c>
      <c r="N20" s="17">
        <v>6231</v>
      </c>
      <c r="O20" s="17">
        <v>4001</v>
      </c>
      <c r="P20" s="17">
        <v>5652</v>
      </c>
      <c r="Q20" s="17">
        <v>3859</v>
      </c>
      <c r="R20" s="17">
        <v>4534</v>
      </c>
      <c r="S20" s="17">
        <v>3255</v>
      </c>
      <c r="T20" s="17">
        <v>4313</v>
      </c>
      <c r="U20" s="17"/>
      <c r="V20" s="17"/>
      <c r="W20" s="17"/>
      <c r="X20" s="59"/>
      <c r="Y20" s="18"/>
      <c r="Z20" s="68"/>
      <c r="AA20" s="68"/>
    </row>
    <row r="21" spans="1:27" ht="22.8" x14ac:dyDescent="0.3">
      <c r="A21" s="43" t="s">
        <v>7</v>
      </c>
      <c r="B21" s="38" t="s">
        <v>28</v>
      </c>
      <c r="C21" s="16">
        <v>6948.5</v>
      </c>
      <c r="D21" s="16">
        <v>7104.6</v>
      </c>
      <c r="E21" s="16">
        <v>4735.5</v>
      </c>
      <c r="F21" s="16">
        <v>8589.6</v>
      </c>
      <c r="G21" s="16">
        <v>5147.3999999999996</v>
      </c>
      <c r="H21" s="16">
        <v>7309.5</v>
      </c>
      <c r="I21" s="16">
        <v>6257.7</v>
      </c>
      <c r="J21" s="16">
        <v>5889.4</v>
      </c>
      <c r="K21" s="17">
        <v>6390.3</v>
      </c>
      <c r="L21" s="17">
        <v>5304.8</v>
      </c>
      <c r="M21" s="17">
        <v>8133</v>
      </c>
      <c r="N21" s="17">
        <v>6621</v>
      </c>
      <c r="O21" s="17">
        <v>7738</v>
      </c>
      <c r="P21" s="17">
        <v>6887</v>
      </c>
      <c r="Q21" s="17">
        <v>6271</v>
      </c>
      <c r="R21" s="17">
        <v>6929</v>
      </c>
      <c r="S21" s="17">
        <v>5952</v>
      </c>
      <c r="T21" s="17">
        <v>5631</v>
      </c>
      <c r="U21" s="17"/>
      <c r="V21" s="17"/>
      <c r="W21" s="17"/>
      <c r="X21" s="59"/>
      <c r="Y21" s="18"/>
      <c r="Z21" s="68"/>
      <c r="AA21" s="68"/>
    </row>
    <row r="22" spans="1:27" ht="22.8" x14ac:dyDescent="0.3">
      <c r="A22" s="43" t="s">
        <v>7</v>
      </c>
      <c r="B22" s="38" t="s">
        <v>30</v>
      </c>
      <c r="C22" s="16">
        <v>216.1</v>
      </c>
      <c r="D22" s="16">
        <v>253.5</v>
      </c>
      <c r="E22" s="16">
        <v>184.2</v>
      </c>
      <c r="F22" s="16">
        <v>201.4</v>
      </c>
      <c r="G22" s="16">
        <v>206.8</v>
      </c>
      <c r="H22" s="16">
        <v>253.7</v>
      </c>
      <c r="I22" s="16">
        <v>223.4</v>
      </c>
      <c r="J22" s="16">
        <v>192.5</v>
      </c>
      <c r="K22" s="17">
        <v>219.2</v>
      </c>
      <c r="L22" s="17">
        <v>193.3</v>
      </c>
      <c r="M22" s="17">
        <v>182</v>
      </c>
      <c r="N22" s="17">
        <v>300</v>
      </c>
      <c r="O22" s="17"/>
      <c r="P22" s="17"/>
      <c r="Q22" s="17"/>
      <c r="R22" s="17"/>
      <c r="S22" s="17"/>
      <c r="T22" s="17"/>
      <c r="U22" s="17"/>
      <c r="V22" s="17"/>
      <c r="W22" s="17"/>
      <c r="X22" s="59"/>
      <c r="Y22" s="18"/>
      <c r="Z22" s="68"/>
      <c r="AA22" s="68"/>
    </row>
    <row r="23" spans="1:27" ht="22.8" x14ac:dyDescent="0.3">
      <c r="A23" s="43" t="s">
        <v>7</v>
      </c>
      <c r="B23" s="38" t="s">
        <v>29</v>
      </c>
      <c r="C23" s="16">
        <v>738.2</v>
      </c>
      <c r="D23" s="16">
        <v>667.4</v>
      </c>
      <c r="E23" s="16">
        <v>594</v>
      </c>
      <c r="F23" s="16">
        <v>594.70000000000005</v>
      </c>
      <c r="G23" s="16">
        <v>517.29999999999995</v>
      </c>
      <c r="H23" s="16">
        <v>626.5</v>
      </c>
      <c r="I23" s="16">
        <v>501.4</v>
      </c>
      <c r="J23" s="16">
        <v>509.2</v>
      </c>
      <c r="K23" s="17">
        <v>534.20000000000005</v>
      </c>
      <c r="L23" s="17">
        <v>770</v>
      </c>
      <c r="M23" s="17">
        <v>679</v>
      </c>
      <c r="N23" s="17">
        <v>0</v>
      </c>
      <c r="O23" s="17"/>
      <c r="P23" s="17"/>
      <c r="Q23" s="17"/>
      <c r="R23" s="17"/>
      <c r="S23" s="17"/>
      <c r="T23" s="17"/>
      <c r="U23" s="17"/>
      <c r="V23" s="17"/>
      <c r="W23" s="17"/>
      <c r="X23" s="59"/>
      <c r="Y23" s="18"/>
      <c r="Z23" s="68"/>
      <c r="AA23" s="68"/>
    </row>
    <row r="24" spans="1:27" ht="23.4" thickBot="1" x14ac:dyDescent="0.35">
      <c r="A24" s="43" t="s">
        <v>7</v>
      </c>
      <c r="B24" s="56" t="s">
        <v>31</v>
      </c>
      <c r="C24" s="19">
        <v>116.3</v>
      </c>
      <c r="D24" s="19">
        <v>136.5</v>
      </c>
      <c r="E24" s="19">
        <v>99.2</v>
      </c>
      <c r="F24" s="19">
        <v>108.4</v>
      </c>
      <c r="G24" s="19">
        <v>111.4</v>
      </c>
      <c r="H24" s="19">
        <v>136.6</v>
      </c>
      <c r="I24" s="19">
        <v>120.3</v>
      </c>
      <c r="J24" s="19">
        <v>103.7</v>
      </c>
      <c r="K24" s="20">
        <v>118</v>
      </c>
      <c r="L24" s="20">
        <v>104.1</v>
      </c>
      <c r="M24" s="20">
        <v>98</v>
      </c>
      <c r="N24" s="20">
        <v>0</v>
      </c>
      <c r="O24" s="20"/>
      <c r="P24" s="20"/>
      <c r="Q24" s="20"/>
      <c r="R24" s="20"/>
      <c r="S24" s="20"/>
      <c r="T24" s="20"/>
      <c r="U24" s="20"/>
      <c r="V24" s="20"/>
      <c r="W24" s="20"/>
      <c r="X24" s="63"/>
      <c r="Y24" s="21"/>
      <c r="Z24" s="68"/>
      <c r="AA24" s="68"/>
    </row>
    <row r="25" spans="1:27" ht="15" thickBot="1" x14ac:dyDescent="0.35">
      <c r="A25" s="45" t="s">
        <v>7</v>
      </c>
      <c r="B25" s="32" t="s">
        <v>18</v>
      </c>
      <c r="C25" s="28">
        <f t="shared" ref="C25:T25" si="3">SUM(C19:C24)</f>
        <v>27831.699999999997</v>
      </c>
      <c r="D25" s="28">
        <f t="shared" si="3"/>
        <v>21960.100000000002</v>
      </c>
      <c r="E25" s="28">
        <f t="shared" si="3"/>
        <v>22142.300000000003</v>
      </c>
      <c r="F25" s="28">
        <f t="shared" si="3"/>
        <v>34647.1</v>
      </c>
      <c r="G25" s="28">
        <f t="shared" si="3"/>
        <v>24553.599999999999</v>
      </c>
      <c r="H25" s="28">
        <f t="shared" si="3"/>
        <v>33360.400000000001</v>
      </c>
      <c r="I25" s="28">
        <f t="shared" si="3"/>
        <v>24445.300000000003</v>
      </c>
      <c r="J25" s="28">
        <f t="shared" si="3"/>
        <v>30724.100000000006</v>
      </c>
      <c r="K25" s="28">
        <f t="shared" si="3"/>
        <v>22302.9</v>
      </c>
      <c r="L25" s="28">
        <f t="shared" si="3"/>
        <v>22941.399999999998</v>
      </c>
      <c r="M25" s="28">
        <f t="shared" si="3"/>
        <v>27660</v>
      </c>
      <c r="N25" s="28">
        <f t="shared" si="3"/>
        <v>26944</v>
      </c>
      <c r="O25" s="28">
        <f t="shared" si="3"/>
        <v>22181</v>
      </c>
      <c r="P25" s="28">
        <f t="shared" si="3"/>
        <v>25155</v>
      </c>
      <c r="Q25" s="28">
        <f t="shared" si="3"/>
        <v>19880</v>
      </c>
      <c r="R25" s="28">
        <f t="shared" si="3"/>
        <v>23581</v>
      </c>
      <c r="S25" s="28">
        <f t="shared" si="3"/>
        <v>16473</v>
      </c>
      <c r="T25" s="28">
        <f t="shared" si="3"/>
        <v>21987</v>
      </c>
      <c r="U25" s="29">
        <v>15219</v>
      </c>
      <c r="V25" s="29">
        <v>18777</v>
      </c>
      <c r="W25" s="29">
        <v>12050</v>
      </c>
      <c r="X25" s="60">
        <v>25140</v>
      </c>
      <c r="Y25" s="72">
        <v>12740</v>
      </c>
      <c r="Z25" s="68"/>
      <c r="AA25" s="68"/>
    </row>
    <row r="26" spans="1:27" x14ac:dyDescent="0.3">
      <c r="A26" s="46" t="s">
        <v>8</v>
      </c>
      <c r="B26" s="36" t="s">
        <v>13</v>
      </c>
      <c r="C26" s="14">
        <v>3075</v>
      </c>
      <c r="D26" s="14">
        <v>4363</v>
      </c>
      <c r="E26" s="14">
        <v>2945</v>
      </c>
      <c r="F26" s="14">
        <v>4765</v>
      </c>
      <c r="G26" s="14">
        <v>3002</v>
      </c>
      <c r="H26" s="14">
        <v>4751</v>
      </c>
      <c r="I26" s="14">
        <v>2950</v>
      </c>
      <c r="J26" s="14">
        <v>3932.1</v>
      </c>
      <c r="K26" s="15">
        <v>2939</v>
      </c>
      <c r="L26" s="15">
        <v>2856.7</v>
      </c>
      <c r="M26" s="15">
        <v>3486</v>
      </c>
      <c r="N26" s="15">
        <v>2789</v>
      </c>
      <c r="O26" s="15"/>
      <c r="P26" s="15"/>
      <c r="Q26" s="15"/>
      <c r="R26" s="15"/>
      <c r="S26" s="15"/>
      <c r="T26" s="15"/>
      <c r="U26" s="15"/>
      <c r="V26" s="15"/>
      <c r="W26" s="15"/>
      <c r="X26" s="64"/>
      <c r="Y26" s="73"/>
      <c r="Z26" s="68"/>
      <c r="AA26" s="68"/>
    </row>
    <row r="27" spans="1:27" ht="15" thickBot="1" x14ac:dyDescent="0.35">
      <c r="A27" s="44" t="s">
        <v>8</v>
      </c>
      <c r="B27" s="37" t="s">
        <v>14</v>
      </c>
      <c r="C27" s="19">
        <v>10575</v>
      </c>
      <c r="D27" s="19">
        <v>12358</v>
      </c>
      <c r="E27" s="19">
        <v>11221</v>
      </c>
      <c r="F27" s="19">
        <v>9193</v>
      </c>
      <c r="G27" s="19">
        <v>10496</v>
      </c>
      <c r="H27" s="19">
        <v>8988</v>
      </c>
      <c r="I27" s="19">
        <v>5915</v>
      </c>
      <c r="J27" s="19">
        <v>5035.3</v>
      </c>
      <c r="K27" s="20">
        <v>7761</v>
      </c>
      <c r="L27" s="20">
        <v>9949</v>
      </c>
      <c r="M27" s="20">
        <v>8211</v>
      </c>
      <c r="N27" s="20">
        <v>9713</v>
      </c>
      <c r="O27" s="20"/>
      <c r="P27" s="20"/>
      <c r="Q27" s="20"/>
      <c r="R27" s="20"/>
      <c r="S27" s="20"/>
      <c r="T27" s="20"/>
      <c r="U27" s="20"/>
      <c r="V27" s="20"/>
      <c r="W27" s="20"/>
      <c r="X27" s="63"/>
      <c r="Y27" s="21"/>
      <c r="Z27" s="68"/>
      <c r="AA27" s="68"/>
    </row>
    <row r="28" spans="1:27" ht="15" thickBot="1" x14ac:dyDescent="0.35">
      <c r="A28" s="45" t="s">
        <v>8</v>
      </c>
      <c r="B28" s="32" t="s">
        <v>18</v>
      </c>
      <c r="C28" s="28">
        <f t="shared" ref="C28:N28" si="4">SUM(C26:C27)</f>
        <v>13650</v>
      </c>
      <c r="D28" s="28">
        <f t="shared" si="4"/>
        <v>16721</v>
      </c>
      <c r="E28" s="28">
        <f t="shared" si="4"/>
        <v>14166</v>
      </c>
      <c r="F28" s="28">
        <f t="shared" si="4"/>
        <v>13958</v>
      </c>
      <c r="G28" s="28">
        <f t="shared" si="4"/>
        <v>13498</v>
      </c>
      <c r="H28" s="28">
        <f t="shared" si="4"/>
        <v>13739</v>
      </c>
      <c r="I28" s="28">
        <f t="shared" si="4"/>
        <v>8865</v>
      </c>
      <c r="J28" s="28">
        <f t="shared" si="4"/>
        <v>8967.4</v>
      </c>
      <c r="K28" s="28">
        <f t="shared" si="4"/>
        <v>10700</v>
      </c>
      <c r="L28" s="28">
        <f t="shared" si="4"/>
        <v>12805.7</v>
      </c>
      <c r="M28" s="28">
        <f t="shared" si="4"/>
        <v>11697</v>
      </c>
      <c r="N28" s="28">
        <f t="shared" si="4"/>
        <v>12502</v>
      </c>
      <c r="O28" s="29">
        <v>11573</v>
      </c>
      <c r="P28" s="29">
        <v>10147</v>
      </c>
      <c r="Q28" s="29">
        <v>10205</v>
      </c>
      <c r="R28" s="29">
        <v>10230</v>
      </c>
      <c r="S28" s="29">
        <v>10306</v>
      </c>
      <c r="T28" s="29">
        <v>9009</v>
      </c>
      <c r="U28" s="29">
        <v>8070</v>
      </c>
      <c r="V28" s="29">
        <v>6795</v>
      </c>
      <c r="W28" s="29">
        <v>6610</v>
      </c>
      <c r="X28" s="60">
        <v>9325</v>
      </c>
      <c r="Y28" s="72">
        <v>6800</v>
      </c>
      <c r="Z28" s="68"/>
      <c r="AA28" s="68"/>
    </row>
    <row r="29" spans="1:27" x14ac:dyDescent="0.3">
      <c r="A29" s="47" t="s">
        <v>9</v>
      </c>
      <c r="B29" s="9" t="s">
        <v>13</v>
      </c>
      <c r="C29" s="22">
        <v>278</v>
      </c>
      <c r="D29" s="22">
        <v>294.3</v>
      </c>
      <c r="E29" s="22">
        <v>224</v>
      </c>
      <c r="F29" s="22">
        <v>371</v>
      </c>
      <c r="G29" s="22">
        <v>245</v>
      </c>
      <c r="H29" s="22">
        <v>346</v>
      </c>
      <c r="I29" s="22">
        <v>349</v>
      </c>
      <c r="J29" s="22">
        <v>347.4</v>
      </c>
      <c r="K29" s="23">
        <v>309.60000000000002</v>
      </c>
      <c r="L29" s="23">
        <v>292.3</v>
      </c>
      <c r="M29" s="23">
        <v>281</v>
      </c>
      <c r="N29" s="23">
        <v>262.2</v>
      </c>
      <c r="O29" s="23">
        <v>260</v>
      </c>
      <c r="P29" s="23">
        <v>250</v>
      </c>
      <c r="Q29" s="23">
        <v>265</v>
      </c>
      <c r="R29" s="23">
        <v>266</v>
      </c>
      <c r="S29" s="23">
        <v>280</v>
      </c>
      <c r="T29" s="23">
        <v>264</v>
      </c>
      <c r="U29" s="23">
        <v>298</v>
      </c>
      <c r="V29" s="23">
        <v>260</v>
      </c>
      <c r="W29" s="23">
        <v>130</v>
      </c>
      <c r="X29" s="58">
        <v>255</v>
      </c>
      <c r="Y29" s="71">
        <v>160</v>
      </c>
      <c r="Z29" s="68"/>
      <c r="AA29" s="68"/>
    </row>
    <row r="30" spans="1:27" x14ac:dyDescent="0.3">
      <c r="A30" s="41" t="s">
        <v>10</v>
      </c>
      <c r="B30" s="8" t="s">
        <v>13</v>
      </c>
      <c r="C30" s="24">
        <v>4935</v>
      </c>
      <c r="D30" s="24">
        <v>4387</v>
      </c>
      <c r="E30" s="24">
        <v>4009</v>
      </c>
      <c r="F30" s="24">
        <v>6180.7</v>
      </c>
      <c r="G30" s="24">
        <v>4339.5</v>
      </c>
      <c r="H30" s="24">
        <v>6302.3</v>
      </c>
      <c r="I30" s="24">
        <v>4411.8</v>
      </c>
      <c r="J30" s="24">
        <v>6031</v>
      </c>
      <c r="K30" s="25">
        <v>4063.9</v>
      </c>
      <c r="L30" s="25">
        <v>4588.8</v>
      </c>
      <c r="M30" s="25">
        <v>4010.1</v>
      </c>
      <c r="N30" s="25">
        <v>5356.6</v>
      </c>
      <c r="O30" s="25">
        <v>3111</v>
      </c>
      <c r="P30" s="25">
        <v>4662</v>
      </c>
      <c r="Q30" s="25">
        <v>3423</v>
      </c>
      <c r="R30" s="25">
        <v>4420</v>
      </c>
      <c r="S30" s="25">
        <v>2632</v>
      </c>
      <c r="T30" s="25">
        <v>4470</v>
      </c>
      <c r="U30" s="25">
        <v>3223</v>
      </c>
      <c r="V30" s="25">
        <v>5870</v>
      </c>
      <c r="W30" s="25">
        <v>2810</v>
      </c>
      <c r="X30" s="65">
        <v>5800</v>
      </c>
      <c r="Y30" s="74">
        <v>3050</v>
      </c>
      <c r="Z30" s="68"/>
      <c r="AA30" s="68"/>
    </row>
    <row r="31" spans="1:27" x14ac:dyDescent="0.3">
      <c r="A31" s="41" t="s">
        <v>11</v>
      </c>
      <c r="B31" s="8" t="s">
        <v>13</v>
      </c>
      <c r="C31" s="24">
        <v>686.7</v>
      </c>
      <c r="D31" s="24">
        <v>497.9</v>
      </c>
      <c r="E31" s="24">
        <v>876.3</v>
      </c>
      <c r="F31" s="24">
        <v>967.5</v>
      </c>
      <c r="G31" s="24">
        <v>953</v>
      </c>
      <c r="H31" s="24">
        <v>1000</v>
      </c>
      <c r="I31" s="24">
        <v>1210</v>
      </c>
      <c r="J31" s="24">
        <v>1047</v>
      </c>
      <c r="K31" s="25">
        <v>1290</v>
      </c>
      <c r="L31" s="25">
        <v>558.6</v>
      </c>
      <c r="M31" s="25">
        <v>1650</v>
      </c>
      <c r="N31" s="25">
        <v>1580</v>
      </c>
      <c r="O31" s="25">
        <v>1842</v>
      </c>
      <c r="P31" s="25">
        <v>2284</v>
      </c>
      <c r="Q31" s="25">
        <v>1467</v>
      </c>
      <c r="R31" s="25">
        <v>2608</v>
      </c>
      <c r="S31" s="25">
        <v>1732</v>
      </c>
      <c r="T31" s="25">
        <v>2248</v>
      </c>
      <c r="U31" s="25">
        <v>1435</v>
      </c>
      <c r="V31" s="25">
        <v>2526</v>
      </c>
      <c r="W31" s="25">
        <v>1970</v>
      </c>
      <c r="X31" s="65">
        <v>2340</v>
      </c>
      <c r="Y31" s="74">
        <v>540</v>
      </c>
      <c r="Z31" s="68"/>
      <c r="AA31" s="68"/>
    </row>
    <row r="32" spans="1:27" x14ac:dyDescent="0.3">
      <c r="A32" s="42" t="s">
        <v>12</v>
      </c>
      <c r="B32" s="39" t="s">
        <v>13</v>
      </c>
      <c r="C32" s="34">
        <v>33.1</v>
      </c>
      <c r="D32" s="34">
        <v>60.3</v>
      </c>
      <c r="E32" s="34">
        <v>32.9</v>
      </c>
      <c r="F32" s="34">
        <v>26.8</v>
      </c>
      <c r="G32" s="34">
        <v>72.099999999999994</v>
      </c>
      <c r="H32" s="34">
        <v>38</v>
      </c>
      <c r="I32" s="34">
        <v>57.4</v>
      </c>
      <c r="J32" s="34">
        <v>101.5</v>
      </c>
      <c r="K32" s="35">
        <v>90.1</v>
      </c>
      <c r="L32" s="35">
        <v>92.7</v>
      </c>
      <c r="M32" s="35">
        <v>131.69999999999999</v>
      </c>
      <c r="N32" s="35">
        <v>125.8</v>
      </c>
      <c r="O32" s="35"/>
      <c r="P32" s="35"/>
      <c r="Q32" s="35"/>
      <c r="R32" s="35"/>
      <c r="S32" s="35"/>
      <c r="T32" s="35"/>
      <c r="U32" s="35"/>
      <c r="V32" s="35"/>
      <c r="W32" s="35"/>
      <c r="X32" s="62"/>
      <c r="Y32" s="33"/>
      <c r="Z32" s="68"/>
      <c r="AA32" s="68"/>
    </row>
    <row r="33" spans="1:27" ht="15" thickBot="1" x14ac:dyDescent="0.35">
      <c r="A33" s="44" t="s">
        <v>12</v>
      </c>
      <c r="B33" s="37" t="s">
        <v>14</v>
      </c>
      <c r="C33" s="19">
        <v>59.9</v>
      </c>
      <c r="D33" s="19">
        <v>45.2</v>
      </c>
      <c r="E33" s="19">
        <v>46.2</v>
      </c>
      <c r="F33" s="19">
        <v>40</v>
      </c>
      <c r="G33" s="19">
        <v>78.7</v>
      </c>
      <c r="H33" s="19">
        <v>43.7</v>
      </c>
      <c r="I33" s="19">
        <v>39.700000000000003</v>
      </c>
      <c r="J33" s="19">
        <v>63.3</v>
      </c>
      <c r="K33" s="20">
        <v>38.200000000000003</v>
      </c>
      <c r="L33" s="20">
        <v>40</v>
      </c>
      <c r="M33" s="20">
        <v>2.8</v>
      </c>
      <c r="N33" s="50">
        <v>0.7</v>
      </c>
      <c r="O33" s="20"/>
      <c r="P33" s="20"/>
      <c r="Q33" s="20"/>
      <c r="R33" s="20"/>
      <c r="S33" s="20"/>
      <c r="T33" s="20"/>
      <c r="U33" s="20"/>
      <c r="V33" s="20"/>
      <c r="W33" s="20"/>
      <c r="X33" s="63"/>
      <c r="Y33" s="21"/>
      <c r="Z33" s="68"/>
      <c r="AA33" s="68"/>
    </row>
    <row r="34" spans="1:27" ht="15" thickBot="1" x14ac:dyDescent="0.35">
      <c r="A34" s="45" t="s">
        <v>12</v>
      </c>
      <c r="B34" s="32" t="s">
        <v>18</v>
      </c>
      <c r="C34" s="28">
        <f t="shared" ref="C34:N34" si="5">SUM(C32:C33)</f>
        <v>93</v>
      </c>
      <c r="D34" s="28">
        <f t="shared" si="5"/>
        <v>105.5</v>
      </c>
      <c r="E34" s="28">
        <f t="shared" si="5"/>
        <v>79.099999999999994</v>
      </c>
      <c r="F34" s="28">
        <f t="shared" si="5"/>
        <v>66.8</v>
      </c>
      <c r="G34" s="28">
        <f t="shared" si="5"/>
        <v>150.80000000000001</v>
      </c>
      <c r="H34" s="28">
        <f t="shared" si="5"/>
        <v>81.7</v>
      </c>
      <c r="I34" s="28">
        <f t="shared" si="5"/>
        <v>97.1</v>
      </c>
      <c r="J34" s="28">
        <f t="shared" si="5"/>
        <v>164.8</v>
      </c>
      <c r="K34" s="28">
        <f t="shared" si="5"/>
        <v>128.30000000000001</v>
      </c>
      <c r="L34" s="28">
        <f t="shared" si="5"/>
        <v>132.69999999999999</v>
      </c>
      <c r="M34" s="28">
        <f t="shared" si="5"/>
        <v>134.5</v>
      </c>
      <c r="N34" s="28">
        <f t="shared" si="5"/>
        <v>126.5</v>
      </c>
      <c r="O34" s="29">
        <v>477</v>
      </c>
      <c r="P34" s="29">
        <v>503</v>
      </c>
      <c r="Q34" s="29">
        <v>440</v>
      </c>
      <c r="R34" s="29">
        <v>498</v>
      </c>
      <c r="S34" s="29">
        <v>405</v>
      </c>
      <c r="T34" s="29">
        <v>490</v>
      </c>
      <c r="U34" s="29">
        <v>475</v>
      </c>
      <c r="V34" s="29">
        <v>475</v>
      </c>
      <c r="W34" s="29">
        <v>320</v>
      </c>
      <c r="X34" s="60">
        <v>420</v>
      </c>
      <c r="Y34" s="72">
        <v>140</v>
      </c>
      <c r="Z34" s="68"/>
      <c r="AA34" s="68"/>
    </row>
    <row r="35" spans="1:27" x14ac:dyDescent="0.3">
      <c r="A35" s="48" t="s">
        <v>21</v>
      </c>
      <c r="B35" s="31" t="s">
        <v>13</v>
      </c>
      <c r="C35" s="22">
        <f>SUM(C7,C11:C12,C15,C18,C19:C21,C23,C26,C29:C31,C32)</f>
        <v>37929.199999999997</v>
      </c>
      <c r="D35" s="22">
        <f t="shared" ref="D35:J35" si="6">SUM(D7,D11:D12,D15,D18,D19:D21,D23,D26,D29:D31,D32)</f>
        <v>32720.800000000003</v>
      </c>
      <c r="E35" s="22">
        <f>SUM(E7,E11:E12,E15,E18,E19:E21,E23,E26,E29:E31,E32)</f>
        <v>31437.3</v>
      </c>
      <c r="F35" s="22">
        <f t="shared" si="6"/>
        <v>48793.4</v>
      </c>
      <c r="G35" s="22">
        <f t="shared" si="6"/>
        <v>34296.299999999996</v>
      </c>
      <c r="H35" s="22">
        <f t="shared" si="6"/>
        <v>47484</v>
      </c>
      <c r="I35" s="22">
        <f t="shared" si="6"/>
        <v>34249.100000000006</v>
      </c>
      <c r="J35" s="22">
        <f t="shared" si="6"/>
        <v>43382.200000000004</v>
      </c>
      <c r="K35" s="23">
        <v>32048.299999999996</v>
      </c>
      <c r="L35" s="23">
        <v>32602.999999999996</v>
      </c>
      <c r="M35" s="23">
        <v>38286.1</v>
      </c>
      <c r="N35" s="23">
        <v>38344.000000000007</v>
      </c>
      <c r="O35" s="23"/>
      <c r="P35" s="23"/>
      <c r="Q35" s="23"/>
      <c r="R35" s="23"/>
      <c r="S35" s="23"/>
      <c r="T35" s="23"/>
      <c r="U35" s="23"/>
      <c r="V35" s="23"/>
      <c r="W35" s="23"/>
      <c r="X35" s="58"/>
      <c r="Y35" s="22"/>
      <c r="Z35" s="68"/>
      <c r="AA35" s="68"/>
    </row>
    <row r="36" spans="1:27" ht="15" thickBot="1" x14ac:dyDescent="0.35">
      <c r="A36" s="49" t="s">
        <v>21</v>
      </c>
      <c r="B36" s="70" t="s">
        <v>14</v>
      </c>
      <c r="C36" s="26">
        <f t="shared" ref="C36:H36" si="7">SUM(C6,C8,C13,C16,C22,C24,C27,C33)</f>
        <v>16813.7</v>
      </c>
      <c r="D36" s="26">
        <f t="shared" si="7"/>
        <v>18154.600000000002</v>
      </c>
      <c r="E36" s="26">
        <f t="shared" si="7"/>
        <v>16292.5</v>
      </c>
      <c r="F36" s="26">
        <f t="shared" si="7"/>
        <v>14309.5</v>
      </c>
      <c r="G36" s="26">
        <f t="shared" si="7"/>
        <v>15013</v>
      </c>
      <c r="H36" s="26">
        <f t="shared" si="7"/>
        <v>14173.600000000002</v>
      </c>
      <c r="I36" s="26">
        <f>SUM(I6,I8,I10,I13,I16,I22,I24,I27,I33)</f>
        <v>10720.900000000001</v>
      </c>
      <c r="J36" s="26">
        <f>SUM(J6,J8,J10,J13,J16,J22,J24,J27,J33)</f>
        <v>7987</v>
      </c>
      <c r="K36" s="27">
        <v>11186.7</v>
      </c>
      <c r="L36" s="27">
        <v>13036.2</v>
      </c>
      <c r="M36" s="27">
        <v>10865.8</v>
      </c>
      <c r="N36" s="27">
        <v>12482.400000000001</v>
      </c>
      <c r="O36" s="27"/>
      <c r="P36" s="27"/>
      <c r="Q36" s="27"/>
      <c r="R36" s="27"/>
      <c r="S36" s="27"/>
      <c r="T36" s="27"/>
      <c r="U36" s="27"/>
      <c r="V36" s="27"/>
      <c r="W36" s="27"/>
      <c r="X36" s="66"/>
      <c r="Y36" s="26"/>
      <c r="Z36" s="68"/>
      <c r="AA36" s="68"/>
    </row>
    <row r="37" spans="1:27" ht="15" thickBot="1" x14ac:dyDescent="0.35">
      <c r="A37" s="45" t="s">
        <v>21</v>
      </c>
      <c r="B37" s="30" t="s">
        <v>19</v>
      </c>
      <c r="C37" s="28">
        <f>SUM(C35:C36)</f>
        <v>54742.899999999994</v>
      </c>
      <c r="D37" s="28">
        <f>SUM(D35:D36)</f>
        <v>50875.400000000009</v>
      </c>
      <c r="E37" s="28">
        <f t="shared" ref="E37:M37" si="8">SUM(E35:E36)</f>
        <v>47729.8</v>
      </c>
      <c r="F37" s="28">
        <f t="shared" si="8"/>
        <v>63102.9</v>
      </c>
      <c r="G37" s="28">
        <f t="shared" si="8"/>
        <v>49309.299999999996</v>
      </c>
      <c r="H37" s="28">
        <f t="shared" si="8"/>
        <v>61657.600000000006</v>
      </c>
      <c r="I37" s="28">
        <f t="shared" si="8"/>
        <v>44970.000000000007</v>
      </c>
      <c r="J37" s="28">
        <f t="shared" si="8"/>
        <v>51369.200000000004</v>
      </c>
      <c r="K37" s="28">
        <f t="shared" si="8"/>
        <v>43235</v>
      </c>
      <c r="L37" s="28">
        <f t="shared" si="8"/>
        <v>45639.199999999997</v>
      </c>
      <c r="M37" s="28">
        <f t="shared" si="8"/>
        <v>49151.899999999994</v>
      </c>
      <c r="N37" s="28">
        <f>SUM(N35:N36)</f>
        <v>50826.400000000009</v>
      </c>
      <c r="O37" s="29">
        <v>43484</v>
      </c>
      <c r="P37" s="29">
        <v>48095</v>
      </c>
      <c r="Q37" s="29">
        <v>39470</v>
      </c>
      <c r="R37" s="29">
        <v>45992</v>
      </c>
      <c r="S37" s="29">
        <v>36070</v>
      </c>
      <c r="T37" s="29">
        <v>42512</v>
      </c>
      <c r="U37" s="29">
        <v>32944</v>
      </c>
      <c r="V37" s="29">
        <v>39272</v>
      </c>
      <c r="W37" s="29">
        <v>28820</v>
      </c>
      <c r="X37" s="60">
        <v>48480</v>
      </c>
      <c r="Y37" s="72">
        <f>SUM(Y6,Y10,Y14,Y17,Y25,Y28,Y29,Y30,Y31,Y34)</f>
        <v>28137</v>
      </c>
      <c r="Z37" s="68"/>
      <c r="AA37" s="68"/>
    </row>
    <row r="39" spans="1:27" x14ac:dyDescent="0.3">
      <c r="A39" s="2" t="s">
        <v>32</v>
      </c>
      <c r="B39" s="3"/>
      <c r="C39" s="4"/>
      <c r="D39" s="4"/>
      <c r="E39" s="4"/>
      <c r="F39" s="4"/>
      <c r="G39" s="4"/>
      <c r="H39" s="4"/>
      <c r="I39" s="4"/>
      <c r="J39" s="4"/>
      <c r="K39" s="5"/>
      <c r="L39" s="6"/>
      <c r="M39" s="7"/>
      <c r="N39" s="5"/>
      <c r="O39" s="5"/>
      <c r="P39" s="6"/>
      <c r="Q39" s="5"/>
    </row>
    <row r="40" spans="1:27" x14ac:dyDescent="0.3">
      <c r="A40" s="69"/>
    </row>
    <row r="41" spans="1:27" x14ac:dyDescent="0.3">
      <c r="A41" s="69"/>
    </row>
    <row r="42" spans="1:27" x14ac:dyDescent="0.3">
      <c r="A42" s="69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:F9 C25 C34 I9 I14:J14 D25:H25 K14:Q14 I25:J25 K25:N25 D34:J34 K34:N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Santos</dc:creator>
  <cp:lastModifiedBy>Rachel Denucci</cp:lastModifiedBy>
  <dcterms:created xsi:type="dcterms:W3CDTF">2017-08-01T17:10:24Z</dcterms:created>
  <dcterms:modified xsi:type="dcterms:W3CDTF">2025-06-05T18:03:42Z</dcterms:modified>
</cp:coreProperties>
</file>